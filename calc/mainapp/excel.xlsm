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https://fundiep-my.sharepoint.com/personal/kuznetsovde_365_iep_ru/Documents/IEP/2022/Модели портал (РАНХиГС)/Макулатура/"/>
    </mc:Choice>
  </mc:AlternateContent>
  <xr:revisionPtr revIDLastSave="20150" documentId="8_{093A3F3F-57CD-4ABF-BB0D-F74FB1C4101C}" xr6:coauthVersionLast="47" xr6:coauthVersionMax="47" xr10:uidLastSave="{3573BAB1-8DEB-494A-98B6-3E6BFA3AA97B}"/>
  <bookViews>
    <workbookView xWindow="-120" yWindow="-120" windowWidth="29040" windowHeight="15720" tabRatio="873" firstSheet="1" activeTab="2" xr2:uid="{00000000-000D-0000-FFFF-FFFF00000000}"/>
  </bookViews>
  <sheets>
    <sheet name="Руководство пользователя" sheetId="19" state="hidden" r:id="rId1"/>
    <sheet name="Модель" sheetId="1" r:id="rId2"/>
    <sheet name="Вид для портала" sheetId="20" r:id="rId3"/>
    <sheet name="Эластичность спроса" sheetId="17" state="hidden" r:id="rId4"/>
    <sheet name="Рентабельность (Росстат)" sheetId="15" state="hidden" r:id="rId5"/>
    <sheet name="Структура затрат (ЦСР)" sheetId="14" state="hidden" r:id="rId6"/>
    <sheet name="Эластичности замещения (GTAP)" sheetId="3" state="hidden" r:id="rId7"/>
    <sheet name="Налоговая нагрузка (ФНС)" sheetId="16" state="hidden" r:id="rId8"/>
    <sheet name="Рентабельность (ФНС) " sheetId="18" state="hidden" r:id="rId9"/>
  </sheets>
  <definedNames>
    <definedName name="DER_0">Модель!#REF!</definedName>
    <definedName name="DER_1">Модель!#REF!</definedName>
    <definedName name="EAEU">Модель!$N$3</definedName>
    <definedName name="ER_0">Модель!$C$3</definedName>
    <definedName name="ER_1">Модель!$D$3</definedName>
    <definedName name="EU">Модель!$N$2</definedName>
    <definedName name="K_0">Модель!$C$7</definedName>
    <definedName name="K_1">Модель!$D$7</definedName>
    <definedName name="K_FDC">Модель!$E$22</definedName>
    <definedName name="K_FXP">Модель!$E$27</definedName>
    <definedName name="K_MDI">Модель!$E$19</definedName>
    <definedName name="K_MMI">Модель!$E$18</definedName>
    <definedName name="K_MXI">Модель!#REF!</definedName>
    <definedName name="K_SDP">Модель!$E$21</definedName>
    <definedName name="Lab">Модель!$N$4</definedName>
    <definedName name="NMMI_0">Модель!$C$5</definedName>
    <definedName name="NMMI_1">Модель!$D$5</definedName>
    <definedName name="NoL">Модель!$N$6</definedName>
    <definedName name="OUT_0">Модель!$C$10</definedName>
    <definedName name="OUT_1">Модель!$D$10</definedName>
    <definedName name="P_FDC_0">Модель!$C$22</definedName>
    <definedName name="P_FDC_1">Модель!$F$22</definedName>
    <definedName name="P_FDP_0">Модель!$C$26</definedName>
    <definedName name="P_FDP_1">Модель!$F$26</definedName>
    <definedName name="P_FXP_0">Модель!$C$27</definedName>
    <definedName name="P_FXP_1">Модель!$F$27</definedName>
    <definedName name="P_MDI_0">Модель!$C$19</definedName>
    <definedName name="P_MDI_1">Модель!$F$19</definedName>
    <definedName name="P_MIC_0">Модель!$C$20</definedName>
    <definedName name="P_MIC_1">Модель!$F$20</definedName>
    <definedName name="P_MMI_0">Модель!$C$18</definedName>
    <definedName name="P_MMI_1">Модель!$F$18</definedName>
    <definedName name="P_MMI_USD_0">Модель!$C$4</definedName>
    <definedName name="P_MMI_USD_1">Модель!$D$4</definedName>
    <definedName name="P_MSI_0">Модель!#REF!</definedName>
    <definedName name="P_MSI_1">Модель!#REF!</definedName>
    <definedName name="P_MXI_0">Модель!#REF!</definedName>
    <definedName name="P_MXI_1">Модель!#REF!</definedName>
    <definedName name="P_MXI_USD_0">Модель!#REF!</definedName>
    <definedName name="P_MXI_USD_1">Модель!#REF!</definedName>
    <definedName name="P_PDC_0">Модель!$C$25</definedName>
    <definedName name="P_PDC_1">Модель!$F$25</definedName>
    <definedName name="P_PDP_0">Модель!$C$23</definedName>
    <definedName name="P_PDP_1">Модель!$F$23</definedName>
    <definedName name="P_PXM_0">Модель!$C$24</definedName>
    <definedName name="P_PXM_1">Модель!$F$24</definedName>
    <definedName name="P_SDP_0">Модель!$C$21</definedName>
    <definedName name="P_SDP_1">Модель!$F$21</definedName>
    <definedName name="profit">Модель!$N$5</definedName>
    <definedName name="Q_FDC_0">Модель!$D$22</definedName>
    <definedName name="Q_FDC_1">Модель!$G$22</definedName>
    <definedName name="Q_FDP_0">Модель!$D$26</definedName>
    <definedName name="Q_FDP_1">Модель!$G$26</definedName>
    <definedName name="Q_FXP_0">Модель!$D$27</definedName>
    <definedName name="Q_FXP_1">Модель!$G$27</definedName>
    <definedName name="Q_MDI_0">Модель!$D$19</definedName>
    <definedName name="Q_MDI_1">Модель!$G$19</definedName>
    <definedName name="Q_MIC_0">Модель!$D$20</definedName>
    <definedName name="Q_MIC_1">Модель!$G$20</definedName>
    <definedName name="Q_MMI_0">Модель!$D$18</definedName>
    <definedName name="Q_MMI_1">Модель!$G$18</definedName>
    <definedName name="Q_MSI_0">Модель!#REF!</definedName>
    <definedName name="Q_MSI_1">Модель!#REF!</definedName>
    <definedName name="Q_MXI_0">Модель!#REF!</definedName>
    <definedName name="Q_MXI_1">Модель!#REF!</definedName>
    <definedName name="Q_PDC_0">Модель!$D$25</definedName>
    <definedName name="Q_PDC_1">Модель!$G$25</definedName>
    <definedName name="Q_PDP_0">Модель!$D$23</definedName>
    <definedName name="Q_PDP_1">Модель!$G$23</definedName>
    <definedName name="Q_PXM_0">Модель!$D$24</definedName>
    <definedName name="Q_PXM_1">Модель!$G$24</definedName>
    <definedName name="Q_SDP_0">Модель!$D$21</definedName>
    <definedName name="Q_SDP_1">Модель!$G$21</definedName>
    <definedName name="r_σ_MIC">Модель!$K$2</definedName>
    <definedName name="r_σ_PDP">Модель!$K$3</definedName>
    <definedName name="r_Ω_FDP">Модель!$K$4</definedName>
    <definedName name="r_Ω_MDI">Модель!#REF!</definedName>
    <definedName name="r_Ω_MSI">Модель!#REF!</definedName>
    <definedName name="SH_0">Модель!$C$11</definedName>
    <definedName name="SH_1">Модель!$D$11</definedName>
    <definedName name="solver_adj" localSheetId="2" hidden="1">'Вид для портала'!$F$33:$G$42</definedName>
    <definedName name="solver_adj" localSheetId="1" hidden="1">Модель!$F$18:$G$27</definedName>
    <definedName name="solver_cvg" localSheetId="1" hidden="1">0.0001</definedName>
    <definedName name="solver_drv" localSheetId="1" hidden="1">1</definedName>
    <definedName name="solver_eng" localSheetId="2" hidden="1">1</definedName>
    <definedName name="solver_eng" localSheetId="1" hidden="1">1</definedName>
    <definedName name="solver_est" localSheetId="1" hidden="1">1</definedName>
    <definedName name="solver_itr" localSheetId="1" hidden="1">500</definedName>
    <definedName name="solver_lhs1" localSheetId="1" hidden="1">Модель!$B$31:$B$50</definedName>
    <definedName name="solver_lhs10" localSheetId="1" hidden="1">Модель!#REF!</definedName>
    <definedName name="solver_lhs11" localSheetId="1" hidden="1">Модель!#REF!</definedName>
    <definedName name="solver_lhs12" localSheetId="1" hidden="1">Модель!#REF!</definedName>
    <definedName name="solver_lhs13" localSheetId="1" hidden="1">Модель!#REF!</definedName>
    <definedName name="solver_lhs14" localSheetId="1" hidden="1">Модель!#REF!</definedName>
    <definedName name="solver_lhs15" localSheetId="1" hidden="1">Модель!#REF!</definedName>
    <definedName name="solver_lhs16" localSheetId="1" hidden="1">Модель!#REF!</definedName>
    <definedName name="solver_lhs17" localSheetId="1" hidden="1">Модель!#REF!</definedName>
    <definedName name="solver_lhs18" localSheetId="1" hidden="1">Модель!#REF!</definedName>
    <definedName name="solver_lhs19" localSheetId="1" hidden="1">Модель!#REF!</definedName>
    <definedName name="solver_lhs2" localSheetId="1" hidden="1">Модель!$B$31:$B$63</definedName>
    <definedName name="solver_lhs20" localSheetId="1" hidden="1">Модель!#REF!</definedName>
    <definedName name="solver_lhs21" localSheetId="1" hidden="1">Модель!#REF!</definedName>
    <definedName name="solver_lhs22" localSheetId="1" hidden="1">Модель!#REF!</definedName>
    <definedName name="solver_lhs23" localSheetId="1" hidden="1">Модель!#REF!</definedName>
    <definedName name="solver_lhs24" localSheetId="1" hidden="1">Модель!#REF!</definedName>
    <definedName name="solver_lhs25" localSheetId="1" hidden="1">Модель!#REF!</definedName>
    <definedName name="solver_lhs26" localSheetId="1" hidden="1">Модель!#REF!</definedName>
    <definedName name="solver_lhs27" localSheetId="1" hidden="1">Модель!#REF!</definedName>
    <definedName name="solver_lhs28" localSheetId="1" hidden="1">Модель!#REF!</definedName>
    <definedName name="solver_lhs29" localSheetId="1" hidden="1">Модель!#REF!</definedName>
    <definedName name="solver_lhs3" localSheetId="1" hidden="1">Модель!#REF!</definedName>
    <definedName name="solver_lhs30" localSheetId="1" hidden="1">Модель!#REF!</definedName>
    <definedName name="solver_lhs31" localSheetId="1" hidden="1">Модель!#REF!</definedName>
    <definedName name="solver_lhs32" localSheetId="1" hidden="1">Модель!#REF!</definedName>
    <definedName name="solver_lhs4" localSheetId="1" hidden="1">Модель!#REF!</definedName>
    <definedName name="solver_lhs5" localSheetId="1" hidden="1">Модель!#REF!</definedName>
    <definedName name="solver_lhs6" localSheetId="1" hidden="1">Модель!$B$65</definedName>
    <definedName name="solver_lhs7" localSheetId="1" hidden="1">Модель!#REF!</definedName>
    <definedName name="solver_lhs8" localSheetId="1" hidden="1">Модель!#REF!</definedName>
    <definedName name="solver_lhs9" localSheetId="1" hidden="1">Модель!#REF!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2" hidden="1">'Вид для портала'!$G$42</definedName>
    <definedName name="solver_opt" localSheetId="1" hidden="1">Модель!$G$27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el10" localSheetId="1" hidden="1">2</definedName>
    <definedName name="solver_rel11" localSheetId="1" hidden="1">2</definedName>
    <definedName name="solver_rel12" localSheetId="1" hidden="1">2</definedName>
    <definedName name="solver_rel13" localSheetId="1" hidden="1">2</definedName>
    <definedName name="solver_rel14" localSheetId="1" hidden="1">2</definedName>
    <definedName name="solver_rel15" localSheetId="1" hidden="1">2</definedName>
    <definedName name="solver_rel16" localSheetId="1" hidden="1">2</definedName>
    <definedName name="solver_rel17" localSheetId="1" hidden="1">2</definedName>
    <definedName name="solver_rel18" localSheetId="1" hidden="1">2</definedName>
    <definedName name="solver_rel19" localSheetId="1" hidden="1">2</definedName>
    <definedName name="solver_rel2" localSheetId="1" hidden="1">2</definedName>
    <definedName name="solver_rel20" localSheetId="1" hidden="1">2</definedName>
    <definedName name="solver_rel21" localSheetId="1" hidden="1">2</definedName>
    <definedName name="solver_rel22" localSheetId="1" hidden="1">2</definedName>
    <definedName name="solver_rel23" localSheetId="1" hidden="1">2</definedName>
    <definedName name="solver_rel24" localSheetId="1" hidden="1">2</definedName>
    <definedName name="solver_rel25" localSheetId="1" hidden="1">2</definedName>
    <definedName name="solver_rel26" localSheetId="1" hidden="1">2</definedName>
    <definedName name="solver_rel27" localSheetId="1" hidden="1">2</definedName>
    <definedName name="solver_rel28" localSheetId="1" hidden="1">2</definedName>
    <definedName name="solver_rel29" localSheetId="1" hidden="1">2</definedName>
    <definedName name="solver_rel3" localSheetId="1" hidden="1">2</definedName>
    <definedName name="solver_rel30" localSheetId="1" hidden="1">2</definedName>
    <definedName name="solver_rel31" localSheetId="1" hidden="1">2</definedName>
    <definedName name="solver_rel32" localSheetId="1" hidden="1">2</definedName>
    <definedName name="solver_rel4" localSheetId="1" hidden="1">2</definedName>
    <definedName name="solver_rel5" localSheetId="1" hidden="1">2</definedName>
    <definedName name="solver_rel6" localSheetId="1" hidden="1">2</definedName>
    <definedName name="solver_rel7" localSheetId="1" hidden="1">2</definedName>
    <definedName name="solver_rel8" localSheetId="1" hidden="1">2</definedName>
    <definedName name="solver_rel9" localSheetId="1" hidden="1">2</definedName>
    <definedName name="solver_rhs1" localSheetId="1" hidden="1">0</definedName>
    <definedName name="solver_rhs10" localSheetId="1" hidden="1">0</definedName>
    <definedName name="solver_rhs11" localSheetId="1" hidden="1">0</definedName>
    <definedName name="solver_rhs12" localSheetId="1" hidden="1">0</definedName>
    <definedName name="solver_rhs13" localSheetId="1" hidden="1">0</definedName>
    <definedName name="solver_rhs14" localSheetId="1" hidden="1">0</definedName>
    <definedName name="solver_rhs15" localSheetId="1" hidden="1">0</definedName>
    <definedName name="solver_rhs16" localSheetId="1" hidden="1">0</definedName>
    <definedName name="solver_rhs17" localSheetId="1" hidden="1">0</definedName>
    <definedName name="solver_rhs18" localSheetId="1" hidden="1">0</definedName>
    <definedName name="solver_rhs19" localSheetId="1" hidden="1">0</definedName>
    <definedName name="solver_rhs2" localSheetId="1" hidden="1">0</definedName>
    <definedName name="solver_rhs20" localSheetId="1" hidden="1">0</definedName>
    <definedName name="solver_rhs21" localSheetId="1" hidden="1">0</definedName>
    <definedName name="solver_rhs22" localSheetId="1" hidden="1">0</definedName>
    <definedName name="solver_rhs23" localSheetId="1" hidden="1">0</definedName>
    <definedName name="solver_rhs24" localSheetId="1" hidden="1">0</definedName>
    <definedName name="solver_rhs25" localSheetId="1" hidden="1">0</definedName>
    <definedName name="solver_rhs26" localSheetId="1" hidden="1">0</definedName>
    <definedName name="solver_rhs27" localSheetId="1" hidden="1">0</definedName>
    <definedName name="solver_rhs28" localSheetId="1" hidden="1">0</definedName>
    <definedName name="solver_rhs29" localSheetId="1" hidden="1">0</definedName>
    <definedName name="solver_rhs3" localSheetId="1" hidden="1">0</definedName>
    <definedName name="solver_rhs30" localSheetId="1" hidden="1">0</definedName>
    <definedName name="solver_rhs31" localSheetId="1" hidden="1">0</definedName>
    <definedName name="solver_rhs32" localSheetId="1" hidden="1">0</definedName>
    <definedName name="solver_rhs4" localSheetId="1" hidden="1">0</definedName>
    <definedName name="solver_rhs5" localSheetId="1" hidden="1">0</definedName>
    <definedName name="solver_rhs6" localSheetId="1" hidden="1">0</definedName>
    <definedName name="solver_rhs7" localSheetId="1" hidden="1">0</definedName>
    <definedName name="solver_rhs8" localSheetId="1" hidden="1">0</definedName>
    <definedName name="solver_rhs9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2" hidden="1">1</definedName>
    <definedName name="solver_typ" localSheetId="1" hidden="1">1</definedName>
    <definedName name="solver_val" localSheetId="2" hidden="1">0</definedName>
    <definedName name="solver_val" localSheetId="1" hidden="1">0</definedName>
    <definedName name="solver_ver" localSheetId="1" hidden="1">3</definedName>
    <definedName name="SVA_0">Модель!$C$9</definedName>
    <definedName name="SVA_1">Модель!$D$9</definedName>
    <definedName name="Tax">Модель!$N$7</definedName>
    <definedName name="TMMI_0">Модель!$C$6</definedName>
    <definedName name="TMMI_1">Модель!$D$6</definedName>
    <definedName name="VAT">Модель!$N$8</definedName>
    <definedName name="Z_FDP">Модель!$K$7</definedName>
    <definedName name="Z_FXP">Модель!$K$10</definedName>
    <definedName name="Z_MMI">Модель!$K$6</definedName>
    <definedName name="Z_MXI">Модель!#REF!</definedName>
    <definedName name="Z_PDP">Модель!$K$8</definedName>
    <definedName name="Z_PXM">Модель!$K$9</definedName>
    <definedName name="ε_FDP">Модель!$I$7</definedName>
    <definedName name="ε_FXP">Модель!$I$10</definedName>
    <definedName name="ε_MMI">Модель!$I$6</definedName>
    <definedName name="ε_MXI">Модель!#REF!</definedName>
    <definedName name="ε_PDP">Модель!$I$8</definedName>
    <definedName name="ε_PXM">Модель!$I$9</definedName>
    <definedName name="ε_SVA">Модель!#REF!</definedName>
    <definedName name="Λ_0">Модель!$C$8</definedName>
    <definedName name="Λ_1">Модель!$D$8</definedName>
    <definedName name="σ_MIC">Модель!$I$2</definedName>
    <definedName name="σ_PDP">Модель!$I$3</definedName>
    <definedName name="Ω_FDP">Модель!$I$4</definedName>
    <definedName name="Ω_MSI">Модель!#REF!</definedName>
    <definedName name="_xlnm.Print_Titles" localSheetId="7">'Налоговая нагрузка (ФНС)'!$4:$5</definedName>
    <definedName name="_xlnm.Print_Titles" localSheetId="8">'Рентабельность (ФНС) '!$3:$4</definedName>
    <definedName name="_xlnm.Print_Area" localSheetId="7">'Налоговая нагрузка (ФНС)'!$A$1:$C$52</definedName>
    <definedName name="_xlnm.Print_Area" localSheetId="8">'Рентабельность (ФНС) '!$A$1:$C$68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0" l="1"/>
  <c r="D3" i="1" s="1"/>
  <c r="G30" i="20"/>
  <c r="H30" i="20"/>
  <c r="E31" i="20"/>
  <c r="F31" i="20"/>
  <c r="E32" i="20"/>
  <c r="F32" i="20"/>
  <c r="E33" i="20"/>
  <c r="F33" i="20"/>
  <c r="E34" i="20"/>
  <c r="F34" i="20"/>
  <c r="E35" i="20"/>
  <c r="F35" i="20"/>
  <c r="E36" i="20"/>
  <c r="F36" i="20"/>
  <c r="E37" i="20"/>
  <c r="F37" i="20"/>
  <c r="E38" i="20"/>
  <c r="F38" i="20"/>
  <c r="E39" i="20"/>
  <c r="F39" i="20"/>
  <c r="E40" i="20"/>
  <c r="F40" i="20"/>
  <c r="F30" i="20"/>
  <c r="E30" i="20"/>
  <c r="B32" i="20"/>
  <c r="B33" i="20"/>
  <c r="B34" i="20"/>
  <c r="B35" i="20"/>
  <c r="B36" i="20"/>
  <c r="B37" i="20"/>
  <c r="B38" i="20"/>
  <c r="B39" i="20"/>
  <c r="B40" i="20"/>
  <c r="B31" i="20"/>
  <c r="C27" i="1"/>
  <c r="C26" i="1"/>
  <c r="N20" i="1" s="1"/>
  <c r="C19" i="1"/>
  <c r="C38" i="20" s="1"/>
  <c r="D26" i="1"/>
  <c r="D22" i="1"/>
  <c r="D21" i="1"/>
  <c r="D18" i="1"/>
  <c r="D6" i="1"/>
  <c r="D5" i="1"/>
  <c r="C11" i="1"/>
  <c r="D9" i="20" s="1"/>
  <c r="C9" i="1"/>
  <c r="D8" i="20" s="1"/>
  <c r="C6" i="1"/>
  <c r="C5" i="1"/>
  <c r="C4" i="1"/>
  <c r="C3" i="1"/>
  <c r="B3" i="20"/>
  <c r="D38" i="20"/>
  <c r="D25" i="1" s="1"/>
  <c r="D36" i="20"/>
  <c r="D32" i="20"/>
  <c r="D19" i="1" s="1"/>
  <c r="D33" i="20" s="1"/>
  <c r="I8" i="1"/>
  <c r="N8" i="1"/>
  <c r="O20" i="1"/>
  <c r="O19" i="1"/>
  <c r="C31" i="20" l="1"/>
  <c r="P27" i="1"/>
  <c r="D40" i="20"/>
  <c r="P26" i="1"/>
  <c r="N26" i="1"/>
  <c r="C37" i="20"/>
  <c r="Q20" i="1"/>
  <c r="N27" i="1"/>
  <c r="O27" i="1" s="1"/>
  <c r="C11" i="17"/>
  <c r="D27" i="1"/>
  <c r="Q27" i="1" l="1"/>
  <c r="Q26" i="1"/>
  <c r="O26" i="1"/>
  <c r="C22" i="1"/>
  <c r="C35" i="20"/>
  <c r="N7" i="1"/>
  <c r="N5" i="1"/>
  <c r="B13" i="14" s="1"/>
  <c r="B14" i="14" s="1"/>
  <c r="N6" i="1" s="1"/>
  <c r="J26" i="1"/>
  <c r="J21" i="1"/>
  <c r="J19" i="1"/>
  <c r="J18" i="1"/>
  <c r="O18" i="1" l="1"/>
  <c r="P20" i="1" l="1"/>
  <c r="B40" i="1"/>
  <c r="B47" i="1"/>
  <c r="B34" i="1"/>
  <c r="B32" i="1"/>
  <c r="I19" i="1"/>
  <c r="H32" i="20" s="1"/>
  <c r="D11" i="1"/>
  <c r="D20" i="1"/>
  <c r="B44" i="1"/>
  <c r="J25" i="1"/>
  <c r="C25" i="1"/>
  <c r="B50" i="1"/>
  <c r="C24" i="1"/>
  <c r="B48" i="1"/>
  <c r="B38" i="1"/>
  <c r="K7" i="1"/>
  <c r="B37" i="1" s="1"/>
  <c r="C10" i="1" l="1"/>
  <c r="D10" i="1" s="1"/>
  <c r="J20" i="1"/>
  <c r="J22" i="1"/>
  <c r="C7" i="1"/>
  <c r="D23" i="1"/>
  <c r="I26" i="1"/>
  <c r="H39" i="20" s="1"/>
  <c r="H27" i="1"/>
  <c r="G40" i="20" s="1"/>
  <c r="H26" i="1"/>
  <c r="G39" i="20" s="1"/>
  <c r="K4" i="1"/>
  <c r="D24" i="1" l="1"/>
  <c r="D37" i="20"/>
  <c r="C8" i="1"/>
  <c r="D8" i="1" s="1"/>
  <c r="C7" i="20"/>
  <c r="C12" i="1"/>
  <c r="C10" i="20" s="1"/>
  <c r="D9" i="1"/>
  <c r="J24" i="1"/>
  <c r="J23" i="1"/>
  <c r="J27" i="1"/>
  <c r="I27" i="1"/>
  <c r="H40" i="20" s="1"/>
  <c r="H22" i="1"/>
  <c r="G35" i="20" s="1"/>
  <c r="H24" i="1"/>
  <c r="G37" i="20" s="1"/>
  <c r="H25" i="1"/>
  <c r="G38" i="20" s="1"/>
  <c r="I25" i="1"/>
  <c r="H38" i="20" s="1"/>
  <c r="I18" i="1"/>
  <c r="H31" i="20" s="1"/>
  <c r="K3" i="1"/>
  <c r="K2" i="1"/>
  <c r="D7" i="20" l="1"/>
  <c r="D7" i="1"/>
  <c r="D10" i="20" s="1"/>
  <c r="B49" i="1"/>
  <c r="I24" i="1"/>
  <c r="H37" i="20" s="1"/>
  <c r="I23" i="1"/>
  <c r="H36" i="20" s="1"/>
  <c r="D12" i="1" l="1"/>
  <c r="H19" i="1"/>
  <c r="G32" i="20" s="1"/>
  <c r="I20" i="1" l="1"/>
  <c r="H33" i="20" s="1"/>
  <c r="I21" i="1"/>
  <c r="H34" i="20" s="1"/>
  <c r="B35" i="1" l="1"/>
  <c r="B36" i="1"/>
  <c r="B42" i="1" l="1"/>
  <c r="I22" i="1"/>
  <c r="H35" i="20" s="1"/>
  <c r="K9" i="1" l="1"/>
  <c r="K10" i="1"/>
  <c r="B41" i="1" s="1"/>
  <c r="C18" i="1"/>
  <c r="C33" i="20" s="1"/>
  <c r="B46" i="1" l="1"/>
  <c r="H18" i="1"/>
  <c r="G31" i="20" s="1"/>
  <c r="N18" i="1"/>
  <c r="E18" i="1"/>
  <c r="K6" i="1"/>
  <c r="B31" i="1" s="1"/>
  <c r="C20" i="1"/>
  <c r="C21" i="1" l="1"/>
  <c r="H20" i="1"/>
  <c r="G33" i="20" s="1"/>
  <c r="C34" i="20"/>
  <c r="E20" i="1"/>
  <c r="B33" i="1"/>
  <c r="Q18" i="1"/>
  <c r="P18" i="1"/>
  <c r="E22" i="1" l="1"/>
  <c r="P25" i="1"/>
  <c r="C23" i="1"/>
  <c r="N19" i="1"/>
  <c r="N25" i="1"/>
  <c r="C36" i="20"/>
  <c r="H21" i="1"/>
  <c r="G34" i="20" s="1"/>
  <c r="O25" i="1" l="1"/>
  <c r="E23" i="1"/>
  <c r="B43" i="1"/>
  <c r="E27" i="1"/>
  <c r="B39" i="1" s="1"/>
  <c r="P19" i="1"/>
  <c r="Q19" i="1"/>
  <c r="N24" i="1"/>
  <c r="P24" i="1"/>
  <c r="N21" i="1"/>
  <c r="N22" i="1" s="1"/>
  <c r="P21" i="1"/>
  <c r="H23" i="1"/>
  <c r="G36" i="20" s="1"/>
  <c r="K8" i="1"/>
  <c r="B45" i="1" s="1"/>
  <c r="Q25" i="1"/>
  <c r="Q21" i="1" l="1"/>
  <c r="A28" i="20"/>
  <c r="A15" i="1"/>
  <c r="P22" i="1"/>
  <c r="Q22" i="1" s="1"/>
  <c r="O21" i="1"/>
  <c r="P28" i="1"/>
  <c r="Q24" i="1"/>
  <c r="N28" i="1"/>
  <c r="O24" i="1"/>
  <c r="O22" i="1" l="1"/>
  <c r="O28" i="1"/>
  <c r="Q2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Дмитрий Кузнецов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Дмитрий Кузнецов:</t>
        </r>
        <r>
          <rPr>
            <sz val="9"/>
            <color indexed="81"/>
            <rFont val="Tahoma"/>
            <family val="2"/>
            <charset val="204"/>
          </rPr>
          <t xml:space="preserve">
GTAP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tc={AF58EA39-640E-4BC8-B883-E5AF553659BC}</author>
  </authors>
  <commentList>
    <comment ref="B4" authorId="0" shapeId="0" xr:uid="{AF58EA39-640E-4BC8-B883-E5AF553659BC}">
      <text>
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Требуется дополнить данные кодами 17.12.31, 17.12.33, 17.12.34, 17.12.35</t>
      </text>
    </comment>
  </commentList>
</comments>
</file>

<file path=xl/sharedStrings.xml><?xml version="1.0" encoding="utf-8"?>
<sst xmlns="http://schemas.openxmlformats.org/spreadsheetml/2006/main" count="519" uniqueCount="424">
  <si>
    <t>Базовое равновесие</t>
  </si>
  <si>
    <t>Новое равновесие</t>
  </si>
  <si>
    <t>Цена (P)</t>
  </si>
  <si>
    <t>Количество (Q)</t>
  </si>
  <si>
    <t>Наименование переменной</t>
  </si>
  <si>
    <t>Обозначение</t>
  </si>
  <si>
    <t>Уравнения</t>
  </si>
  <si>
    <t>Изменение (%)</t>
  </si>
  <si>
    <t>ER</t>
  </si>
  <si>
    <t>Курс RUB/USD</t>
  </si>
  <si>
    <t>Управляющие воздействия модели</t>
  </si>
  <si>
    <t>Количество (Q) тыс. тонн</t>
  </si>
  <si>
    <t>Номер</t>
  </si>
  <si>
    <t>GTAP Код</t>
  </si>
  <si>
    <t>Наименование отрасли</t>
  </si>
  <si>
    <t>Эластичность замещения между импортом из отечественными товарами</t>
  </si>
  <si>
    <t>Эластичность замещения между импортом из разных стран</t>
  </si>
  <si>
    <t>pdr</t>
  </si>
  <si>
    <t>Неочищенный рис</t>
  </si>
  <si>
    <t>wht</t>
  </si>
  <si>
    <t>Пшеница и меслин</t>
  </si>
  <si>
    <t>gro</t>
  </si>
  <si>
    <t>Прочие злаки</t>
  </si>
  <si>
    <t>v_f</t>
  </si>
  <si>
    <t>Овощи и фрукты</t>
  </si>
  <si>
    <t>osd</t>
  </si>
  <si>
    <t>Семена и плоды масличных культур</t>
  </si>
  <si>
    <t>c_b</t>
  </si>
  <si>
    <t>Растения, используемые для производства сахара</t>
  </si>
  <si>
    <t>pfb</t>
  </si>
  <si>
    <t>Растения для производства различных волокон</t>
  </si>
  <si>
    <t>ocr</t>
  </si>
  <si>
    <t>Производство прочей продукции растениеводства</t>
  </si>
  <si>
    <t>ctl</t>
  </si>
  <si>
    <t>Коровы, овцы, козы и лошади</t>
  </si>
  <si>
    <t>oap</t>
  </si>
  <si>
    <t>Производство прочей продукции животноводства</t>
  </si>
  <si>
    <t>rmk</t>
  </si>
  <si>
    <t>Сырое молоко</t>
  </si>
  <si>
    <t>wol</t>
  </si>
  <si>
    <t>Шерсть и коконы шелкопряда</t>
  </si>
  <si>
    <t>frs</t>
  </si>
  <si>
    <t>Лесная промышленность</t>
  </si>
  <si>
    <t>fsh</t>
  </si>
  <si>
    <t>Рыбная промышленность</t>
  </si>
  <si>
    <t>coa</t>
  </si>
  <si>
    <t>Добыча угля</t>
  </si>
  <si>
    <t>oil</t>
  </si>
  <si>
    <t>Добыча нефти</t>
  </si>
  <si>
    <t>gas</t>
  </si>
  <si>
    <t>Добыча газа</t>
  </si>
  <si>
    <t>omn</t>
  </si>
  <si>
    <t>Прочая добывающая промышленность</t>
  </si>
  <si>
    <t>cmt</t>
  </si>
  <si>
    <t>Мясные продукты из говядины</t>
  </si>
  <si>
    <t>omt</t>
  </si>
  <si>
    <t>Прочие мясные продукты</t>
  </si>
  <si>
    <t>vol</t>
  </si>
  <si>
    <t>Растительные и животные жиры</t>
  </si>
  <si>
    <t>mil</t>
  </si>
  <si>
    <t>Молочные продукты</t>
  </si>
  <si>
    <t>pcr</t>
  </si>
  <si>
    <t>Очищенный рис</t>
  </si>
  <si>
    <t>sgr</t>
  </si>
  <si>
    <t>Сахар</t>
  </si>
  <si>
    <t>ofd</t>
  </si>
  <si>
    <t>Производство прочих пищевых продуктов</t>
  </si>
  <si>
    <t>b_t</t>
  </si>
  <si>
    <t>Производство напитков и табачных изделий</t>
  </si>
  <si>
    <t>tex</t>
  </si>
  <si>
    <t>Текстильная промышленность</t>
  </si>
  <si>
    <t>wap</t>
  </si>
  <si>
    <t>Производство одежды</t>
  </si>
  <si>
    <t>lea</t>
  </si>
  <si>
    <t>Производство изделий из кожи</t>
  </si>
  <si>
    <t>lum</t>
  </si>
  <si>
    <t>Деревообработка</t>
  </si>
  <si>
    <t>ppp</t>
  </si>
  <si>
    <t>Целлюлозно-бумажная промышленность</t>
  </si>
  <si>
    <t>p_c</t>
  </si>
  <si>
    <t>Производство нефтепродуктов</t>
  </si>
  <si>
    <t>crp</t>
  </si>
  <si>
    <t>Химическая промышленность, производство резины и пластмассы</t>
  </si>
  <si>
    <t>nmm</t>
  </si>
  <si>
    <t>Производство прочих неметаллических минеральных продуктов</t>
  </si>
  <si>
    <t>i_s</t>
  </si>
  <si>
    <t>Чёрная металлургия</t>
  </si>
  <si>
    <t>nfm</t>
  </si>
  <si>
    <t>Цветная металлургия</t>
  </si>
  <si>
    <t>fmp</t>
  </si>
  <si>
    <t>Производство металлических изделий</t>
  </si>
  <si>
    <t>mvh</t>
  </si>
  <si>
    <t>Производство автотранспорта</t>
  </si>
  <si>
    <t>otn</t>
  </si>
  <si>
    <t>Производство прочих видов транспорта</t>
  </si>
  <si>
    <t>ele</t>
  </si>
  <si>
    <t>Производство электроники</t>
  </si>
  <si>
    <t>ome</t>
  </si>
  <si>
    <t>Точное машиностроение</t>
  </si>
  <si>
    <t>omf</t>
  </si>
  <si>
    <t>Прочая обрабатывающая промышленность</t>
  </si>
  <si>
    <t>ely</t>
  </si>
  <si>
    <t>Производство и распределение электроэнергии</t>
  </si>
  <si>
    <t>gdt</t>
  </si>
  <si>
    <t>Распределение газа</t>
  </si>
  <si>
    <t>wtr</t>
  </si>
  <si>
    <t>Распределение воды</t>
  </si>
  <si>
    <t>cns</t>
  </si>
  <si>
    <t>Строительство</t>
  </si>
  <si>
    <t>trd</t>
  </si>
  <si>
    <t>Торговля и рестораны</t>
  </si>
  <si>
    <t>otp</t>
  </si>
  <si>
    <t>Прочие виды транспорта</t>
  </si>
  <si>
    <t>wtp</t>
  </si>
  <si>
    <t>Водный транспорт</t>
  </si>
  <si>
    <t>atp</t>
  </si>
  <si>
    <t>Воздушный транспорт</t>
  </si>
  <si>
    <t>cmn</t>
  </si>
  <si>
    <t>Услуги почты и связи</t>
  </si>
  <si>
    <t>ofi</t>
  </si>
  <si>
    <t>Финансовые услуги</t>
  </si>
  <si>
    <t>isr</t>
  </si>
  <si>
    <t>Страхование</t>
  </si>
  <si>
    <t>obs</t>
  </si>
  <si>
    <t>Бизнес-услуги</t>
  </si>
  <si>
    <t>ros</t>
  </si>
  <si>
    <t>Рекреационные и прочие услуги</t>
  </si>
  <si>
    <t>osg</t>
  </si>
  <si>
    <t>Гос. управление, образование, здравоохранение и оборона</t>
  </si>
  <si>
    <t>dwe</t>
  </si>
  <si>
    <t>Услуги домашних хозяйств</t>
  </si>
  <si>
    <t>Относительное качество</t>
  </si>
  <si>
    <t>rho</t>
  </si>
  <si>
    <t>SS_DS</t>
  </si>
  <si>
    <t>P_MMI_USD</t>
  </si>
  <si>
    <t>Импортный нетарифный барьер на товар M</t>
  </si>
  <si>
    <t>NMMI</t>
  </si>
  <si>
    <t>Импортный тариф на товар M</t>
  </si>
  <si>
    <t>TMMI</t>
  </si>
  <si>
    <t>K</t>
  </si>
  <si>
    <t>σ_MIC</t>
  </si>
  <si>
    <t>σ_PDP</t>
  </si>
  <si>
    <r>
      <t>ε</t>
    </r>
    <r>
      <rPr>
        <sz val="11"/>
        <color theme="1"/>
        <rFont val="Calibri"/>
        <family val="2"/>
      </rPr>
      <t>_MMI</t>
    </r>
  </si>
  <si>
    <r>
      <t>ε</t>
    </r>
    <r>
      <rPr>
        <sz val="11"/>
        <color theme="1"/>
        <rFont val="Calibri"/>
        <family val="2"/>
      </rPr>
      <t>_FDP</t>
    </r>
  </si>
  <si>
    <r>
      <t>ε</t>
    </r>
    <r>
      <rPr>
        <sz val="11"/>
        <color theme="1"/>
        <rFont val="Calibri"/>
        <family val="2"/>
      </rPr>
      <t>_PDP</t>
    </r>
  </si>
  <si>
    <r>
      <t>ε</t>
    </r>
    <r>
      <rPr>
        <sz val="11"/>
        <color theme="1"/>
        <rFont val="Calibri"/>
        <family val="2"/>
      </rPr>
      <t>_PXM</t>
    </r>
  </si>
  <si>
    <t>Нормировочная цена для собираемости макулатуры</t>
  </si>
  <si>
    <t>Λ</t>
  </si>
  <si>
    <t>Импорт товара M</t>
  </si>
  <si>
    <t>Отечественное производство S</t>
  </si>
  <si>
    <t>Потребление отраслью S товара M</t>
  </si>
  <si>
    <t>Отечественное потребление P</t>
  </si>
  <si>
    <t>Нетто импорт P</t>
  </si>
  <si>
    <t>Общее образование P</t>
  </si>
  <si>
    <t>MMI</t>
  </si>
  <si>
    <t>MIC</t>
  </si>
  <si>
    <t>SVA</t>
  </si>
  <si>
    <t>SDP</t>
  </si>
  <si>
    <t>FDP</t>
  </si>
  <si>
    <t>PDP</t>
  </si>
  <si>
    <t>PXM</t>
  </si>
  <si>
    <t>PDC</t>
  </si>
  <si>
    <t>MDI</t>
  </si>
  <si>
    <t>Цена (P), руб за кг</t>
  </si>
  <si>
    <t>Потребление отечественного товара M</t>
  </si>
  <si>
    <t>r_σ_MIC</t>
  </si>
  <si>
    <t>r_σ_PDP</t>
  </si>
  <si>
    <t>Собираемость макулатуры</t>
  </si>
  <si>
    <t>FDC</t>
  </si>
  <si>
    <t>Отечественное потребление F</t>
  </si>
  <si>
    <t>Отечественное производство товара F</t>
  </si>
  <si>
    <t>Экспорт товара F</t>
  </si>
  <si>
    <t>FXP</t>
  </si>
  <si>
    <t>Ω_FDP</t>
  </si>
  <si>
    <r>
      <t>ε</t>
    </r>
    <r>
      <rPr>
        <sz val="11"/>
        <color theme="1"/>
        <rFont val="Calibri"/>
        <family val="2"/>
      </rPr>
      <t>_FXP</t>
    </r>
  </si>
  <si>
    <t>r_Ω_FDP</t>
  </si>
  <si>
    <t>Z_MMI</t>
  </si>
  <si>
    <t>Z_FDP</t>
  </si>
  <si>
    <t>Z_PDP</t>
  </si>
  <si>
    <t>Z_PXM</t>
  </si>
  <si>
    <t>Z_FXP</t>
  </si>
  <si>
    <t>MMI_SUPPLY</t>
  </si>
  <si>
    <t>MIC_BUD_CES</t>
  </si>
  <si>
    <t>MIC_CES</t>
  </si>
  <si>
    <t>MIC_BAL_CES</t>
  </si>
  <si>
    <t>Выход продукции из макулатуры</t>
  </si>
  <si>
    <t>OUT</t>
  </si>
  <si>
    <t>SH</t>
  </si>
  <si>
    <t>FDP_SUPPLY</t>
  </si>
  <si>
    <t>FDP_BUD_CET</t>
  </si>
  <si>
    <t>FDP_CET</t>
  </si>
  <si>
    <t>FDP_BAL_CET</t>
  </si>
  <si>
    <t>FXP_DEMAND</t>
  </si>
  <si>
    <t>PDP_BUD_CES</t>
  </si>
  <si>
    <t>PDP_CES</t>
  </si>
  <si>
    <t>PDP_BAL_CES</t>
  </si>
  <si>
    <t>PDP_DEMAND</t>
  </si>
  <si>
    <t>PXM_SUPPLY</t>
  </si>
  <si>
    <t>PDC_BAL</t>
  </si>
  <si>
    <t>SDP_P</t>
  </si>
  <si>
    <t>SDP_Q</t>
  </si>
  <si>
    <t>PDC_P</t>
  </si>
  <si>
    <t>PXM_P</t>
  </si>
  <si>
    <t>MDI_BAL</t>
  </si>
  <si>
    <t>Прочие переменные издержки производства макулатурного картона (руб./кг)</t>
  </si>
  <si>
    <t>Доля собираемой макулатуры для производства картона</t>
  </si>
  <si>
    <t>Доля ЕС в импорте</t>
  </si>
  <si>
    <t>млн. руб</t>
  </si>
  <si>
    <t>Импортный тариф</t>
  </si>
  <si>
    <t>Базовое рановесие</t>
  </si>
  <si>
    <t>Изменение</t>
  </si>
  <si>
    <t>Статья затрат</t>
  </si>
  <si>
    <t>Руб./т</t>
  </si>
  <si>
    <t>Макулатура МС-5Б</t>
  </si>
  <si>
    <t>Химикаты</t>
  </si>
  <si>
    <t>Электроэнергия</t>
  </si>
  <si>
    <t>Тепловая энергия</t>
  </si>
  <si>
    <t>Вода</t>
  </si>
  <si>
    <t>ФОТ с начислениями</t>
  </si>
  <si>
    <t>Расходы по очистке воды</t>
  </si>
  <si>
    <t>Упаковка</t>
  </si>
  <si>
    <t>Переменные затраты</t>
  </si>
  <si>
    <t>Постоянные затраты</t>
  </si>
  <si>
    <t>Полная себестоимость</t>
  </si>
  <si>
    <t>Затраты на труд (руб./кг)</t>
  </si>
  <si>
    <t>Производство макулатурных тарных картонов</t>
  </si>
  <si>
    <t>Производство целлюлозных тарных картонов</t>
  </si>
  <si>
    <t>Доля ЕАЭС в импорте</t>
  </si>
  <si>
    <t>Прибыль</t>
  </si>
  <si>
    <t>Общее убывание волокна</t>
  </si>
  <si>
    <t>Итого налоги</t>
  </si>
  <si>
    <t>Норма прибыли в отрасли</t>
  </si>
  <si>
    <t xml:space="preserve"> Классификатор форм собственности </t>
  </si>
  <si>
    <t>Классификатор видов экономической деятельности (ОКВЭД2)</t>
  </si>
  <si>
    <t>Классификатор объектов административно-территориального деления (ОКАТО)</t>
  </si>
  <si>
    <t>Классификатор организационно-правовых форм</t>
  </si>
  <si>
    <t>Единица измерения</t>
  </si>
  <si>
    <t>Период</t>
  </si>
  <si>
    <t>Типы квалификационных группировок предприятий</t>
  </si>
  <si>
    <t>2017</t>
  </si>
  <si>
    <t>2018</t>
  </si>
  <si>
    <t>2019</t>
  </si>
  <si>
    <t>2020</t>
  </si>
  <si>
    <t>199 ВСЕГО (по всем формам собственности)</t>
  </si>
  <si>
    <t xml:space="preserve">        17.1 Производство целлюлозы, древесной массы, бумаги и картона</t>
  </si>
  <si>
    <t>643 Российская Федерация</t>
  </si>
  <si>
    <t>99997 Всего</t>
  </si>
  <si>
    <t>744 процент</t>
  </si>
  <si>
    <t>1558883 значение показателя за год</t>
  </si>
  <si>
    <t>15 Всего</t>
  </si>
  <si>
    <t xml:space="preserve">            17.12 Производство бумаги и картона</t>
  </si>
  <si>
    <t xml:space="preserve">                17.12.2 Производство картона</t>
  </si>
  <si>
    <t xml:space="preserve">        17.2 Производство изделий из бумаги и картона</t>
  </si>
  <si>
    <t xml:space="preserve">            17.21 Производство гофрированной бумаги и картона, бумажной и картонной тары</t>
  </si>
  <si>
    <t xml:space="preserve">            17.29 Производство прочих изделий из бумаги и картона</t>
  </si>
  <si>
    <t>Внешние значения</t>
  </si>
  <si>
    <t>Налоговая нагрузка по видам экономической деятельности в 2020 году*</t>
  </si>
  <si>
    <t>Справочно:
Налоговая нагрузка рассчитана как отношение суммы налогов и сборов по данным официальной статистической отчетности ФНС России к обороту организаций по данным Росстата, умноженное на 100%</t>
  </si>
  <si>
    <t xml:space="preserve">Приложение  № 3 к Приказу ФНС России от 30.05.07 №ММ-3-06/333@ </t>
  </si>
  <si>
    <t>Вид экономической деятельности (согласно ОКВЭД-2)</t>
  </si>
  <si>
    <t>2020 год</t>
  </si>
  <si>
    <t>Налоговая нагрузка, %</t>
  </si>
  <si>
    <t>Справочно: фискальная нагрузка по СВ, %</t>
  </si>
  <si>
    <t>ВСЕГО</t>
  </si>
  <si>
    <t>Сельское, лесное хозяйство, охота, рыболовство, рыбоводство – всего</t>
  </si>
  <si>
    <t>растениеводство и животноводство, охота и предоставление соответствующих услуг в этих областях</t>
  </si>
  <si>
    <t>лесоводство и лесозаготовки</t>
  </si>
  <si>
    <t>рыболовство, рыбоводство</t>
  </si>
  <si>
    <t xml:space="preserve">Добыча полезных ископаемых - всего </t>
  </si>
  <si>
    <t xml:space="preserve">добыча топливно-энергетических полезных ископаемых -всего </t>
  </si>
  <si>
    <t>добыча полезных ископаемых, кроме топливно-энергетических</t>
  </si>
  <si>
    <t xml:space="preserve">Обрабатывающие производства – всего  </t>
  </si>
  <si>
    <t>производство пищевых продуктов, напитков, табачных изделий</t>
  </si>
  <si>
    <t>производство текстильных изделий, одежды</t>
  </si>
  <si>
    <t>производство кожи и изделий из кожи</t>
  </si>
  <si>
    <t>обработка древесины и производство изделий из дерева и пробки, кроме мебели, производство изделий из соломки и материалов для плетения</t>
  </si>
  <si>
    <t>производство бумаги и бумажных изделий</t>
  </si>
  <si>
    <t>деятельность полиграфическая и копирование носителей информации</t>
  </si>
  <si>
    <t>производство кокса и нефтепродуктов</t>
  </si>
  <si>
    <t>производство химических веществ и химических продуктов</t>
  </si>
  <si>
    <t>производство лекарственных средств и материалов, применяемых в медицинских целях</t>
  </si>
  <si>
    <t>производство резиновых и пластмассовых изделий</t>
  </si>
  <si>
    <t>производство прочей неметаллической минеральной продукции</t>
  </si>
  <si>
    <t>производство металлургическое и производство готовых металлических изделий, кроме машин и оборудования</t>
  </si>
  <si>
    <t>производство машин и оборудования, не включенные в другие группировки</t>
  </si>
  <si>
    <t>производство компьютеров, электронных и оптических изделий</t>
  </si>
  <si>
    <t>производство электрического оборудования</t>
  </si>
  <si>
    <t>производство прочих транспортных средств и оборудования</t>
  </si>
  <si>
    <t>производство автотранспортных средств, прицепов и полуприцепов</t>
  </si>
  <si>
    <t>Обеспечение электрической энергией, газом и паром; кондиционирование воздуха - всего</t>
  </si>
  <si>
    <t>производство, передача и распределение электроэнергии</t>
  </si>
  <si>
    <t>производство и распределение газообразного топлива</t>
  </si>
  <si>
    <t>производство, передача и распределение пара и  горячей воды; кондиционирование воздуха</t>
  </si>
  <si>
    <t>Водоснабжение, водоотведение, организация сбора и утилизации отходов, деятельность и ликвидация загрязнений-  всего</t>
  </si>
  <si>
    <t>Торговля оптовая и розничная; ремонт автотранспортных средств и мотоциклов - всего</t>
  </si>
  <si>
    <t>торговля оптовая и розничная автотранспортными средствами и мотоциклами и их ремонт</t>
  </si>
  <si>
    <t>торговля оптовая, кроме оптовой торговли автотранспортными средствами и мотоциклами</t>
  </si>
  <si>
    <t>торговля розничная, кроме торговли автотранспортными средствами и мотоциклами</t>
  </si>
  <si>
    <t xml:space="preserve">Деятельность гостиниц и предприятий общественного питания - всего </t>
  </si>
  <si>
    <t>Транспортировка и хранение -всего</t>
  </si>
  <si>
    <t>деятельность железнодорожного транспорта: междугородные и международные пассажирские и грузовые перевозки</t>
  </si>
  <si>
    <t>деятельность трубопроводного транспорта</t>
  </si>
  <si>
    <t xml:space="preserve">деятельность водного транспорта  </t>
  </si>
  <si>
    <t>деятельность почтовой связи и курьерская деятельность</t>
  </si>
  <si>
    <t>Деятельность в области информации и связи - всего</t>
  </si>
  <si>
    <t>Деятельность по операциям с недвижимым имуществом</t>
  </si>
  <si>
    <t>Деятельность административная и сопутствующие дополнительные услуги</t>
  </si>
  <si>
    <t>*- Расчет произведен с учетом поступлений по налогу на доходы физических лиц</t>
  </si>
  <si>
    <t>Изменение прибыли производителей макулатурных картонов</t>
  </si>
  <si>
    <t>Изменение прибыли производителей целлюлозных картонов</t>
  </si>
  <si>
    <t>Итого вклад прочих факторов</t>
  </si>
  <si>
    <t>Прочие затраты SVA исключая труд</t>
  </si>
  <si>
    <t>Цена импорта товара M USD (без тарифа), долл. США за кг</t>
  </si>
  <si>
    <t>Налоги и благосостояние</t>
  </si>
  <si>
    <t>Поведенческие параметры</t>
  </si>
  <si>
    <t>Anderson and Spiegelman (1977)</t>
  </si>
  <si>
    <t>Buongiorno et al. (1983)</t>
  </si>
  <si>
    <t>Nestor (1992)</t>
  </si>
  <si>
    <t>Rehn (1995) [Paper I]</t>
  </si>
  <si>
    <t>Ramaswamy et al. (1996)</t>
  </si>
  <si>
    <t>Hseu and Buongiorno (1997)</t>
  </si>
  <si>
    <t>Lee and Ma (2001)</t>
  </si>
  <si>
    <t>Samakovlis (2003)</t>
  </si>
  <si>
    <t>Lundmark and Söderholm (2003)</t>
  </si>
  <si>
    <t>Эластичность спроса по цене</t>
  </si>
  <si>
    <t>Исследование</t>
  </si>
  <si>
    <t>Среднее значение</t>
  </si>
  <si>
    <t>Anderson, Robert C., and Richard D. Spiegelman. "Tax policy and secondary material use." Journal of environmental economics and management 4, no. 1 (1977): 68-82.</t>
  </si>
  <si>
    <t>Buongiorno, Joseph, Merhdad Farimani, and Wu-Jen Chuang. "Econometric model of price formation in the United States paper and paperboard industry." Wood and Fiber Science 15, no. 1 (1983): 28-39.</t>
  </si>
  <si>
    <t>Nestor, Deborah Vaughn. "Partial static equilibrium model of newsprint recycling." Applied Economics 24, no. 4 (1992): 411-417.</t>
  </si>
  <si>
    <t>Rehn, Mikael. "Technology in the pulp and paper industry. Empirical studies of scale economies, productivity growth and substitution possibilities." Rapport-Sveriges Lantbruksuniversitet, Institutionen foer Skogsekonomi (Sweden) (1995).</t>
  </si>
  <si>
    <t>Bennis, M.J., Hoogeveen, J.G.M., Ramaswamy, K.V. and Vaidya, R.R., 1998. Input Substitution in the Indian Paper Industry: a Variable Cost Function Approach. In Wastepaper Trade and Recycling in India (pp. 123-136). Scientific Publishers.</t>
  </si>
  <si>
    <t>Hseu, Jiing-Shyang, and Joseph Buongiorno. "Output supply and input demand in the pulp and paper industry: a nonparametric model for the United States and Canada." Forest science 43, no. 1 (1997): 35-45.</t>
  </si>
  <si>
    <t>Lee, Myunghun, and Hwan-Ok Ma. "Substitution possibility between unpriced pulp and wastepaper in the US paper and paperboard industry." Environmental and Resource Economics 18, no. 3 (2001): 251-273.</t>
  </si>
  <si>
    <t>Samakovlis, Eva. "The relationship between waste paper and other inputs in the Swedish paper industry." Environmental and Resource Economics 25, no. 2 (2003): 191-212.</t>
  </si>
  <si>
    <t>Lundmark, Robert, and Patrik Söderholm. "Structural changes in Swedish wastepaper demand: a variable cost function approach." Journal of Forest Economics 9, no. 1 (2003): 41-63.</t>
  </si>
  <si>
    <t>Ссылка</t>
  </si>
  <si>
    <t>Налоговая нагрузка в отрасли бумаги и бумажных изделий</t>
  </si>
  <si>
    <t>Рентабельность проданных товаров, продукции, работ, услуг и рентабельность активов организаций по видам экономической деятельности, в процентах</t>
  </si>
  <si>
    <t xml:space="preserve">Приложение  № 4 к Приказу ФНС России от 30.05.07 №ММ-3-06/333@ </t>
  </si>
  <si>
    <t>Рентабельность проданных товаров, продукции (работ, услуг), %*</t>
  </si>
  <si>
    <t>Рентабельность активов, %**</t>
  </si>
  <si>
    <t>Всего</t>
  </si>
  <si>
    <t>сельское, лесное хозяйство, охота, рыболовство и рыбоводство</t>
  </si>
  <si>
    <t>растениеводство и животноводство, охота и
предоставление соответствующих услуг в этих областях</t>
  </si>
  <si>
    <t>отр.</t>
  </si>
  <si>
    <t>рыболовство и рыбоводство</t>
  </si>
  <si>
    <t>добыча полезных ископаемых</t>
  </si>
  <si>
    <t>добыча угля</t>
  </si>
  <si>
    <t>добыча сырой нефти и природного газа</t>
  </si>
  <si>
    <t>добыча металлических руд</t>
  </si>
  <si>
    <t>добыча прочих полезных ископаемых</t>
  </si>
  <si>
    <t>обрабатывающие производства</t>
  </si>
  <si>
    <t>производство пищевых продуктов</t>
  </si>
  <si>
    <t>производство напитков</t>
  </si>
  <si>
    <t>производство табачных изделий</t>
  </si>
  <si>
    <t>производство текстильных изделий</t>
  </si>
  <si>
    <t>производство одежды</t>
  </si>
  <si>
    <t>обработка древесины и производство изделий из дерева и пробки, кроме мебели,
производство изделий из соломки и материалов для плетения</t>
  </si>
  <si>
    <t>-</t>
  </si>
  <si>
    <t>производство металлургическое</t>
  </si>
  <si>
    <t>производство готовых металлических изделий, кроме машин и оборудования</t>
  </si>
  <si>
    <t>производство машин и оборудования, не включенных в другие группировки</t>
  </si>
  <si>
    <t>производство электрического оборудования,</t>
  </si>
  <si>
    <t>производство прочих готовых изделий</t>
  </si>
  <si>
    <t>обеспечение электрической энергией, газом и паром; кондиционирование воздуха</t>
  </si>
  <si>
    <t>производство, передача и распределение пара и горячей воды; кондиционирование воздуха</t>
  </si>
  <si>
    <t>водоснабжение; водоотведение, организация сбора и утилизации отходов, 
деятельность по ликвидации загрязнений</t>
  </si>
  <si>
    <t>строительство</t>
  </si>
  <si>
    <t>торговля оптовая и розничная; ремонт автотранспортных средств и мотоциклов</t>
  </si>
  <si>
    <t>деятельность гостиниц и предприятий общественного питания</t>
  </si>
  <si>
    <t>транспортировка и хранение</t>
  </si>
  <si>
    <t>деятельность железнодорожного транспорта: междугородные и международные пассажирские перевозки</t>
  </si>
  <si>
    <t>деятельность железнодорожного транспорта: грузовые перевозки</t>
  </si>
  <si>
    <t>деятельность прочего сухопутного пассажирского транспорта</t>
  </si>
  <si>
    <t>деятельность автомобильного грузового транспорта и услуги по перевозкам</t>
  </si>
  <si>
    <t>деятельность водного транспорта</t>
  </si>
  <si>
    <t>деятельность воздушного и космического транспорта</t>
  </si>
  <si>
    <t>деятельность в области информации и связи</t>
  </si>
  <si>
    <t>деятельность финансовая и страховая</t>
  </si>
  <si>
    <t>деятельность по операциям с недвижимым имуществом</t>
  </si>
  <si>
    <t>научные исследования и разработки</t>
  </si>
  <si>
    <t>государственное управление и обеспечение военной безопасности; социальное обеспечение</t>
  </si>
  <si>
    <t>образование</t>
  </si>
  <si>
    <t>деятельность в области здравоохранения и социальных услуг</t>
  </si>
  <si>
    <t>деятельность в области культуры, спорта, организации досуга и развлечений</t>
  </si>
  <si>
    <t>* Рентабельность проданных товаров, (продукции, работ, услуг) - соотношение между величиной сальдированного финансового результата (прибыль минус убыток) от продажи товаров (продукции, работ, услуг) и себестоимостью проданных товаров (продукции, работ, услуг) с учетом коммерческих и управленческих расходов. В том случае, если получен убыток от продажи товаров (продукции, работ, услуг), имеет место убыточность</t>
  </si>
  <si>
    <t>** Рентабельность активов - соотношение сальдированного финансового результата (прибыль минус убыток) и стоимости активов организаций. В случае если сальдированный финансовый результат (прибыль минус убыток) отрицательный - имеет место убыточность.</t>
  </si>
  <si>
    <t>Изменение прибыли потребителей картона</t>
  </si>
  <si>
    <t>Изменение совокупной зарплаты сотрудников отрасли тарных картонов</t>
  </si>
  <si>
    <t>Налог на прибыль</t>
  </si>
  <si>
    <t>Налог на потребителей тарных картонов (налог на прибыль)</t>
  </si>
  <si>
    <t>Светло-синим цветом обозначены ячейки, в которые требуется ввести входные данные (начальное состояние рынка). Остальные значения начального равновесия рассчитаются автоматически с учетом балансовых условий.</t>
  </si>
  <si>
    <t>Для проведения численного моделирования необходимо менять управляющие воздействия модели, обозначенные оранжевым цветом. Другие управляющие воздействий допускается менять, но не рекомендуется это делать без сохранения запасной копии файла.</t>
  </si>
  <si>
    <t>После изменения управляющих воздействий в ячейке А15 появится сообщение "Решение не найдено". Необходимо нажать кнопку "Поиск решения".</t>
  </si>
  <si>
    <t>Требуется провести сравенине издержек с аналогичным показателем для целлюлозных ТК.</t>
  </si>
  <si>
    <t xml:space="preserve">Основное различие придется на стоимость волокна (вместо макулатуры марки МС-5Б </t>
  </si>
  <si>
    <t>будет целлюлоза для картона для плоских слоев и полуцеллюлоза для бумаги для гофрирования).</t>
  </si>
  <si>
    <t>При этом целлюлоза и полуцеллюлоза не требуют существенного ввода химикатов для получения</t>
  </si>
  <si>
    <t xml:space="preserve">готовой продукции, то есть, совокупные издержки на сырье + химикаты у макулатурных ТК </t>
  </si>
  <si>
    <t xml:space="preserve">составят 26,1 руб. на килограмм готовой продукции, у целлюлозных ТК - от 15 руб. (бумага для </t>
  </si>
  <si>
    <t>гофрирования из лиственной полуцеллюлозы) до 20 руб. (целлюлозные картоны для плоских</t>
  </si>
  <si>
    <t>слоев из хвойной целлюлозы). При этом стоимость целлюлозных тарных картонов существенно выше,</t>
  </si>
  <si>
    <t>чем макулатурных, при фактически более низких издержках в условиях текущих цен на макулатуру МС-5Б.</t>
  </si>
  <si>
    <t>Т. е., без принятия мер по снижению цен на макулатуру МС-5Б производители макулатурных тарных</t>
  </si>
  <si>
    <t>картонов теряют доходность.</t>
  </si>
  <si>
    <t>Итого благосостояние</t>
  </si>
  <si>
    <t>% к начальному</t>
  </si>
  <si>
    <t>Цена импорта макулатуры USD (без тарифа), долл. США за кг</t>
  </si>
  <si>
    <t>Импортный тариф на макулатуру</t>
  </si>
  <si>
    <t>Импортный нетарифный барьер на макулатуру</t>
  </si>
  <si>
    <t>Импорт макулатуры</t>
  </si>
  <si>
    <t>Потребление отечественной макулатуры</t>
  </si>
  <si>
    <t>Потребление макулатуры</t>
  </si>
  <si>
    <t>Отечественное производство макулатурных тарных картонов</t>
  </si>
  <si>
    <t>Отечественное потребление целлюлозных тарных картонов</t>
  </si>
  <si>
    <t>Отечественное потребление тарных картонов</t>
  </si>
  <si>
    <t>Нетто импорт тарных картнов в составе упакованных товаров</t>
  </si>
  <si>
    <t>Общее образование макулатуры</t>
  </si>
  <si>
    <t>Отечественное производство целлюлозных тарных картонов</t>
  </si>
  <si>
    <t>Экспорт целлюлозных тарных картонов</t>
  </si>
  <si>
    <t>Для проведения численного моделирования необходимо менять управляющие воздействия модели, обозначенные оранжевым цветом.</t>
  </si>
  <si>
    <t>Расчетные значения</t>
  </si>
  <si>
    <t>Светло-синим цветом обозначены ячейки, в которые требуется ввести входные данные (начальное состояние рынка)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</si>
</sst>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0.0%"/>
    <numFmt numFmtId="166" formatCode="0.0000000"/>
    <numFmt numFmtId="167" formatCode="#,##0.0"/>
    <numFmt numFmtId="168" formatCode="_-* #,##0\ &quot;₽&quot;_-;\-* #,##0\ &quot;₽&quot;_-;_-* &quot;-&quot;??\ &quot;₽&quot;_-;_-@_-"/>
    <numFmt numFmtId="169" formatCode="_-[$$-409]* #,##0.00_ ;_-[$$-409]* \-#,##0.00\ ;_-[$$-409]* &quot;-&quot;??_ ;_-@_ "/>
    <numFmt numFmtId="170" formatCode="0.00000000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name val="Arial Cyr"/>
      <charset val="204"/>
    </font>
    <font>
      <b/>
      <sz val="16"/>
      <name val="Times New Roman"/>
      <family val="1"/>
      <charset val="204"/>
    </font>
    <font>
      <i/>
      <sz val="10"/>
      <name val="Arial Cyr"/>
      <charset val="204"/>
    </font>
    <font>
      <b/>
      <sz val="10"/>
      <name val="Arial Cyr"/>
      <charset val="204"/>
    </font>
    <font>
      <b/>
      <sz val="12"/>
      <name val="Times New Roman"/>
      <family val="1"/>
      <charset val="204"/>
    </font>
    <font>
      <b/>
      <sz val="10"/>
      <name val="Arial CYR"/>
      <family val="2"/>
      <charset val="204"/>
    </font>
    <font>
      <b/>
      <sz val="11"/>
      <name val="Arial Cyr"/>
      <charset val="204"/>
    </font>
    <font>
      <sz val="11"/>
      <name val="Arial Cyr"/>
      <charset val="204"/>
    </font>
    <font>
      <sz val="9"/>
      <name val="Arial Cyr"/>
      <charset val="204"/>
    </font>
    <font>
      <sz val="10"/>
      <color theme="3" tint="0.39997558519241921"/>
      <name val="Arial Cyr"/>
      <charset val="204"/>
    </font>
    <font>
      <b/>
      <sz val="14"/>
      <name val="Times New Roman"/>
      <family val="1"/>
      <charset val="204"/>
    </font>
    <font>
      <sz val="12"/>
      <name val="Times New Roman"/>
      <family val="1"/>
      <charset val="204"/>
    </font>
    <font>
      <sz val="10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i/>
      <sz val="12"/>
      <name val="Times New Roman"/>
      <family val="1"/>
      <charset val="204"/>
    </font>
    <font>
      <sz val="11"/>
      <color rgb="FFFFC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6" fillId="0" borderId="0"/>
    <xf numFmtId="0" fontId="6" fillId="0" borderId="0"/>
    <xf numFmtId="43" fontId="4" fillId="0" borderId="0" applyFont="0" applyFill="0" applyBorder="0" applyAlignment="0" applyProtection="0"/>
    <xf numFmtId="0" fontId="9" fillId="0" borderId="0"/>
  </cellStyleXfs>
  <cellXfs count="92">
    <xf numFmtId="0" fontId="0" fillId="0" borderId="0" xfId="0"/>
    <xf numFmtId="0" fontId="1" fillId="0" borderId="0" xfId="0" applyFont="1"/>
    <xf numFmtId="1" fontId="0" fillId="0" borderId="0" xfId="0" applyNumberFormat="1"/>
    <xf numFmtId="0" fontId="3" fillId="0" borderId="0" xfId="0" applyFont="1"/>
    <xf numFmtId="1" fontId="0" fillId="0" borderId="1" xfId="0" applyNumberFormat="1" applyBorder="1"/>
    <xf numFmtId="0" fontId="0" fillId="0" borderId="1" xfId="0" applyBorder="1"/>
    <xf numFmtId="9" fontId="0" fillId="0" borderId="1" xfId="1" applyFont="1" applyBorder="1"/>
    <xf numFmtId="164" fontId="0" fillId="0" borderId="1" xfId="0" applyNumberFormat="1" applyBorder="1"/>
    <xf numFmtId="9" fontId="0" fillId="0" borderId="0" xfId="1" applyFont="1" applyFill="1" applyBorder="1"/>
    <xf numFmtId="44" fontId="0" fillId="3" borderId="1" xfId="2" applyFont="1" applyFill="1" applyBorder="1"/>
    <xf numFmtId="9" fontId="0" fillId="3" borderId="1" xfId="1" applyFont="1" applyFill="1" applyBorder="1"/>
    <xf numFmtId="9" fontId="0" fillId="4" borderId="1" xfId="1" applyFont="1" applyFill="1" applyBorder="1"/>
    <xf numFmtId="44" fontId="0" fillId="4" borderId="1" xfId="2" applyFont="1" applyFill="1" applyBorder="1"/>
    <xf numFmtId="0" fontId="1" fillId="0" borderId="1" xfId="0" applyFont="1" applyBorder="1"/>
    <xf numFmtId="0" fontId="0" fillId="0" borderId="2" xfId="0" applyBorder="1"/>
    <xf numFmtId="10" fontId="0" fillId="0" borderId="1" xfId="1" applyNumberFormat="1" applyFont="1" applyFill="1" applyBorder="1"/>
    <xf numFmtId="43" fontId="0" fillId="3" borderId="1" xfId="5" applyFont="1" applyFill="1" applyBorder="1"/>
    <xf numFmtId="1" fontId="1" fillId="0" borderId="1" xfId="0" applyNumberFormat="1" applyFont="1" applyBorder="1"/>
    <xf numFmtId="2" fontId="0" fillId="5" borderId="1" xfId="0" applyNumberFormat="1" applyFill="1" applyBorder="1"/>
    <xf numFmtId="44" fontId="0" fillId="0" borderId="1" xfId="2" applyFont="1" applyBorder="1"/>
    <xf numFmtId="43" fontId="0" fillId="0" borderId="1" xfId="5" applyFont="1" applyFill="1" applyBorder="1"/>
    <xf numFmtId="43" fontId="0" fillId="0" borderId="0" xfId="5" applyFont="1" applyFill="1" applyBorder="1"/>
    <xf numFmtId="10" fontId="0" fillId="0" borderId="0" xfId="1" applyNumberFormat="1" applyFont="1" applyFill="1" applyBorder="1"/>
    <xf numFmtId="2" fontId="0" fillId="0" borderId="0" xfId="0" applyNumberFormat="1"/>
    <xf numFmtId="166" fontId="0" fillId="0" borderId="0" xfId="0" applyNumberFormat="1"/>
    <xf numFmtId="0" fontId="0" fillId="0" borderId="4" xfId="0" applyBorder="1"/>
    <xf numFmtId="0" fontId="5" fillId="2" borderId="3" xfId="0" applyFont="1" applyFill="1" applyBorder="1" applyAlignment="1">
      <alignment horizontal="center"/>
    </xf>
    <xf numFmtId="164" fontId="0" fillId="0" borderId="0" xfId="0" applyNumberFormat="1"/>
    <xf numFmtId="1" fontId="0" fillId="0" borderId="1" xfId="1" applyNumberFormat="1" applyFont="1" applyFill="1" applyBorder="1"/>
    <xf numFmtId="165" fontId="0" fillId="0" borderId="1" xfId="1" applyNumberFormat="1" applyFont="1" applyFill="1" applyBorder="1"/>
    <xf numFmtId="10" fontId="0" fillId="0" borderId="0" xfId="1" applyNumberFormat="1" applyFont="1" applyFill="1"/>
    <xf numFmtId="0" fontId="0" fillId="0" borderId="5" xfId="0" applyBorder="1"/>
    <xf numFmtId="10" fontId="0" fillId="0" borderId="2" xfId="1" applyNumberFormat="1" applyFont="1" applyFill="1" applyBorder="1"/>
    <xf numFmtId="0" fontId="9" fillId="0" borderId="0" xfId="6"/>
    <xf numFmtId="0" fontId="12" fillId="0" borderId="0" xfId="6" applyFont="1" applyAlignment="1">
      <alignment horizontal="left"/>
    </xf>
    <xf numFmtId="49" fontId="14" fillId="6" borderId="1" xfId="6" applyNumberFormat="1" applyFont="1" applyFill="1" applyBorder="1" applyAlignment="1">
      <alignment horizontal="center" vertical="center" wrapText="1"/>
    </xf>
    <xf numFmtId="49" fontId="9" fillId="0" borderId="0" xfId="6" applyNumberFormat="1"/>
    <xf numFmtId="0" fontId="15" fillId="0" borderId="1" xfId="6" applyFont="1" applyBorder="1" applyAlignment="1">
      <alignment vertical="center" wrapText="1"/>
    </xf>
    <xf numFmtId="167" fontId="16" fillId="7" borderId="1" xfId="6" applyNumberFormat="1" applyFont="1" applyFill="1" applyBorder="1" applyAlignment="1">
      <alignment horizontal="center" vertical="center"/>
    </xf>
    <xf numFmtId="0" fontId="15" fillId="0" borderId="1" xfId="6" applyFont="1" applyBorder="1" applyAlignment="1">
      <alignment horizontal="left" vertical="center" wrapText="1"/>
    </xf>
    <xf numFmtId="167" fontId="15" fillId="7" borderId="1" xfId="6" applyNumberFormat="1" applyFont="1" applyFill="1" applyBorder="1" applyAlignment="1">
      <alignment horizontal="center" vertical="center"/>
    </xf>
    <xf numFmtId="0" fontId="16" fillId="0" borderId="1" xfId="6" applyFont="1" applyBorder="1" applyAlignment="1">
      <alignment horizontal="left" vertical="center" wrapText="1" indent="1"/>
    </xf>
    <xf numFmtId="167" fontId="16" fillId="0" borderId="1" xfId="6" applyNumberFormat="1" applyFont="1" applyBorder="1" applyAlignment="1">
      <alignment horizontal="center" vertical="center"/>
    </xf>
    <xf numFmtId="0" fontId="9" fillId="5" borderId="0" xfId="6" applyFill="1"/>
    <xf numFmtId="0" fontId="15" fillId="0" borderId="1" xfId="6" applyFont="1" applyBorder="1" applyAlignment="1">
      <alignment horizontal="left" vertical="center"/>
    </xf>
    <xf numFmtId="0" fontId="17" fillId="0" borderId="0" xfId="6" applyFont="1"/>
    <xf numFmtId="0" fontId="17" fillId="0" borderId="0" xfId="6" applyFont="1" applyAlignment="1">
      <alignment horizontal="left"/>
    </xf>
    <xf numFmtId="0" fontId="18" fillId="0" borderId="0" xfId="6" applyFont="1"/>
    <xf numFmtId="168" fontId="0" fillId="0" borderId="1" xfId="2" applyNumberFormat="1" applyFont="1" applyBorder="1"/>
    <xf numFmtId="165" fontId="0" fillId="0" borderId="1" xfId="0" applyNumberFormat="1" applyBorder="1"/>
    <xf numFmtId="10" fontId="1" fillId="0" borderId="1" xfId="0" applyNumberFormat="1" applyFont="1" applyBorder="1"/>
    <xf numFmtId="2" fontId="1" fillId="0" borderId="1" xfId="0" applyNumberFormat="1" applyFont="1" applyBorder="1"/>
    <xf numFmtId="9" fontId="0" fillId="0" borderId="1" xfId="0" applyNumberFormat="1" applyBorder="1"/>
    <xf numFmtId="169" fontId="0" fillId="3" borderId="1" xfId="5" applyNumberFormat="1" applyFont="1" applyFill="1" applyBorder="1"/>
    <xf numFmtId="0" fontId="5" fillId="0" borderId="1" xfId="0" applyFont="1" applyBorder="1"/>
    <xf numFmtId="2" fontId="5" fillId="0" borderId="1" xfId="0" applyNumberFormat="1" applyFont="1" applyBorder="1"/>
    <xf numFmtId="0" fontId="19" fillId="0" borderId="0" xfId="6" applyFont="1" applyAlignment="1">
      <alignment horizontal="center" vertical="center" wrapText="1"/>
    </xf>
    <xf numFmtId="49" fontId="21" fillId="0" borderId="1" xfId="6" applyNumberFormat="1" applyFont="1" applyBorder="1" applyAlignment="1">
      <alignment horizontal="center" vertical="center" wrapText="1"/>
    </xf>
    <xf numFmtId="0" fontId="13" fillId="0" borderId="1" xfId="6" applyFont="1" applyBorder="1" applyAlignment="1">
      <alignment horizontal="left" vertical="center" wrapText="1"/>
    </xf>
    <xf numFmtId="164" fontId="22" fillId="8" borderId="1" xfId="6" applyNumberFormat="1" applyFont="1" applyFill="1" applyBorder="1" applyAlignment="1">
      <alignment horizontal="center" vertical="center" wrapText="1"/>
    </xf>
    <xf numFmtId="0" fontId="20" fillId="0" borderId="1" xfId="6" applyFont="1" applyBorder="1" applyAlignment="1">
      <alignment horizontal="left" vertical="center" wrapText="1"/>
    </xf>
    <xf numFmtId="164" fontId="23" fillId="8" borderId="1" xfId="6" applyNumberFormat="1" applyFont="1" applyFill="1" applyBorder="1" applyAlignment="1">
      <alignment horizontal="center" vertical="center" wrapText="1"/>
    </xf>
    <xf numFmtId="0" fontId="20" fillId="0" borderId="1" xfId="6" applyFont="1" applyBorder="1" applyAlignment="1">
      <alignment vertical="center" wrapText="1"/>
    </xf>
    <xf numFmtId="0" fontId="20" fillId="0" borderId="0" xfId="6" applyFont="1" applyAlignment="1">
      <alignment vertical="center" wrapText="1"/>
    </xf>
    <xf numFmtId="164" fontId="23" fillId="8" borderId="0" xfId="6" applyNumberFormat="1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25" fillId="4" borderId="0" xfId="0" applyFont="1" applyFill="1"/>
    <xf numFmtId="0" fontId="0" fillId="3" borderId="0" xfId="0" applyFill="1"/>
    <xf numFmtId="10" fontId="0" fillId="0" borderId="0" xfId="1" applyNumberFormat="1" applyFont="1"/>
    <xf numFmtId="164" fontId="0" fillId="0" borderId="0" xfId="1" applyNumberFormat="1" applyFont="1"/>
    <xf numFmtId="164" fontId="0" fillId="0" borderId="0" xfId="5" applyNumberFormat="1" applyFont="1"/>
    <xf numFmtId="170" fontId="0" fillId="0" borderId="0" xfId="0" applyNumberFormat="1"/>
    <xf numFmtId="0" fontId="0" fillId="0" borderId="9" xfId="0" applyBorder="1"/>
    <xf numFmtId="10" fontId="0" fillId="0" borderId="1" xfId="1" applyNumberFormat="1" applyFont="1" applyBorder="1"/>
    <xf numFmtId="1" fontId="0" fillId="3" borderId="1" xfId="0" applyNumberFormat="1" applyFill="1" applyBorder="1"/>
    <xf numFmtId="0" fontId="10" fillId="0" borderId="0" xfId="6" applyFont="1" applyAlignment="1">
      <alignment horizontal="center" vertical="center"/>
    </xf>
    <xf numFmtId="0" fontId="11" fillId="0" borderId="0" xfId="6" applyFont="1" applyAlignment="1">
      <alignment horizontal="center" vertical="center" wrapText="1"/>
    </xf>
    <xf numFmtId="0" fontId="9" fillId="0" borderId="6" xfId="6" applyBorder="1" applyAlignment="1">
      <alignment horizontal="center" wrapText="1"/>
    </xf>
    <xf numFmtId="0" fontId="12" fillId="6" borderId="1" xfId="6" applyFont="1" applyFill="1" applyBorder="1" applyAlignment="1">
      <alignment horizontal="center" vertical="center"/>
    </xf>
    <xf numFmtId="0" fontId="13" fillId="6" borderId="2" xfId="6" applyFont="1" applyFill="1" applyBorder="1" applyAlignment="1">
      <alignment horizontal="center" vertical="center"/>
    </xf>
    <xf numFmtId="0" fontId="13" fillId="6" borderId="7" xfId="6" applyFont="1" applyFill="1" applyBorder="1" applyAlignment="1">
      <alignment horizontal="center" vertical="center"/>
    </xf>
    <xf numFmtId="0" fontId="24" fillId="0" borderId="0" xfId="6" applyFont="1" applyAlignment="1">
      <alignment horizontal="left" vertical="top" wrapText="1"/>
    </xf>
    <xf numFmtId="0" fontId="19" fillId="0" borderId="0" xfId="6" applyFont="1" applyAlignment="1">
      <alignment horizontal="center" vertical="center" wrapText="1"/>
    </xf>
    <xf numFmtId="0" fontId="16" fillId="0" borderId="0" xfId="6" applyFont="1" applyAlignment="1">
      <alignment horizontal="center" vertical="center" wrapText="1"/>
    </xf>
    <xf numFmtId="0" fontId="20" fillId="0" borderId="8" xfId="6" applyFont="1" applyBorder="1" applyAlignment="1">
      <alignment horizontal="center" vertical="center" wrapText="1"/>
    </xf>
    <xf numFmtId="0" fontId="20" fillId="0" borderId="4" xfId="6" applyFont="1" applyBorder="1" applyAlignment="1">
      <alignment horizontal="center" vertical="center" wrapText="1"/>
    </xf>
    <xf numFmtId="0" fontId="13" fillId="0" borderId="2" xfId="6" applyFont="1" applyBorder="1" applyAlignment="1">
      <alignment horizontal="center" vertical="center"/>
    </xf>
    <xf numFmtId="0" fontId="13" fillId="0" borderId="7" xfId="6" applyFont="1" applyBorder="1" applyAlignment="1">
      <alignment horizontal="center" vertical="center"/>
    </xf>
    <xf numFmtId="165" fontId="0" fillId="0" borderId="1" xfId="1" applyNumberFormat="1" applyFont="1" applyBorder="1"/>
    <xf numFmtId="0" fontId="0" fillId="0" borderId="0" xfId="0" applyBorder="1"/>
    <xf numFmtId="9" fontId="0" fillId="0" borderId="0" xfId="1" applyFont="1" applyBorder="1"/>
    <xf numFmtId="165" fontId="0" fillId="0" borderId="0" xfId="1" applyNumberFormat="1" applyFont="1" applyFill="1" applyBorder="1"/>
  </cellXfs>
  <cellStyles count="7">
    <cellStyle name="Normal 2" xfId="3" xr:uid="{00000000-0005-0000-0000-000000000000}"/>
    <cellStyle name="Денежный" xfId="2" builtinId="4"/>
    <cellStyle name="Обычный" xfId="0" builtinId="0"/>
    <cellStyle name="Обычный 2" xfId="4" xr:uid="{00000000-0005-0000-0000-000003000000}"/>
    <cellStyle name="Обычный 3" xfId="6" xr:uid="{00000000-0005-0000-0000-000004000000}"/>
    <cellStyle name="Процентный" xfId="1" builtinId="5"/>
    <cellStyle name="Финансовый" xfId="5" builtinId="3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767042</xdr:colOff>
      <xdr:row>28</xdr:row>
      <xdr:rowOff>160804</xdr:rowOff>
    </xdr:from>
    <xdr:to>
      <xdr:col>11</xdr:col>
      <xdr:colOff>158002</xdr:colOff>
      <xdr:row>53</xdr:row>
      <xdr:rowOff>131517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2689" y="5517216"/>
          <a:ext cx="7772960" cy="47332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13607</xdr:colOff>
          <xdr:row>26</xdr:row>
          <xdr:rowOff>36739</xdr:rowOff>
        </xdr:from>
        <xdr:to>
          <xdr:col>4</xdr:col>
          <xdr:colOff>356507</xdr:colOff>
          <xdr:row>28</xdr:row>
          <xdr:rowOff>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4</xdr:col>
      <xdr:colOff>137429</xdr:colOff>
      <xdr:row>0</xdr:row>
      <xdr:rowOff>108857</xdr:rowOff>
    </xdr:from>
    <xdr:to>
      <xdr:col>13</xdr:col>
      <xdr:colOff>41699</xdr:colOff>
      <xdr:row>25</xdr:row>
      <xdr:rowOff>79570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4858" y="108857"/>
          <a:ext cx="7796412" cy="473321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Пеньков Михаил" id="{8AA3E9E2-1DD6-415F-B580-562E61F38D23}" userId="93b57be4f280c166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4" dT="2022-02-11T14:19:49.98" personId="{8AA3E9E2-1DD6-415F-B580-562E61F38D23}" id="{AF58EA39-640E-4BC8-B883-E5AF553659BC}">
    <text>Требуется дополнить данные кодами 17.12.31, 17.12.33, 17.12.34, 17.12.35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40253-B7BA-4BDB-8E36-861DC83928FC}">
  <sheetPr codeName="Лист3"/>
  <dimension ref="A2:R33"/>
  <sheetViews>
    <sheetView workbookViewId="0">
      <selection activeCell="A2" sqref="A2:B4"/>
    </sheetView>
  </sheetViews>
  <sheetFormatPr defaultRowHeight="15" x14ac:dyDescent="0.25"/>
  <sheetData>
    <row r="2" spans="1:18" x14ac:dyDescent="0.25">
      <c r="A2" s="66"/>
      <c r="B2" t="s">
        <v>393</v>
      </c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18" x14ac:dyDescent="0.25">
      <c r="A3" s="67"/>
      <c r="B3" s="65" t="s">
        <v>392</v>
      </c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</row>
    <row r="4" spans="1:18" x14ac:dyDescent="0.25">
      <c r="B4" s="65" t="s">
        <v>394</v>
      </c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</row>
    <row r="5" spans="1:18" x14ac:dyDescent="0.25"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</row>
    <row r="6" spans="1:18" x14ac:dyDescent="0.25"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</row>
    <row r="7" spans="1:18" x14ac:dyDescent="0.25"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</row>
    <row r="8" spans="1:18" x14ac:dyDescent="0.25"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</row>
    <row r="9" spans="1:18" x14ac:dyDescent="0.25"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</row>
    <row r="10" spans="1:18" x14ac:dyDescent="0.25"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</row>
    <row r="11" spans="1:18" x14ac:dyDescent="0.25"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</row>
    <row r="12" spans="1:18" x14ac:dyDescent="0.25"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</row>
    <row r="13" spans="1:18" x14ac:dyDescent="0.25"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</row>
    <row r="14" spans="1:18" x14ac:dyDescent="0.25"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</row>
    <row r="15" spans="1:18" x14ac:dyDescent="0.25"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</row>
    <row r="16" spans="1:18" x14ac:dyDescent="0.25"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</row>
    <row r="17" spans="2:18" x14ac:dyDescent="0.25"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</row>
    <row r="18" spans="2:18" x14ac:dyDescent="0.25"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</row>
    <row r="19" spans="2:18" x14ac:dyDescent="0.25"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</row>
    <row r="20" spans="2:18" x14ac:dyDescent="0.25"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</row>
    <row r="21" spans="2:18" x14ac:dyDescent="0.25"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</row>
    <row r="22" spans="2:18" x14ac:dyDescent="0.25"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</row>
    <row r="23" spans="2:18" x14ac:dyDescent="0.25"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</row>
    <row r="24" spans="2:18" x14ac:dyDescent="0.25"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</row>
    <row r="25" spans="2:18" x14ac:dyDescent="0.25"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</row>
    <row r="26" spans="2:18" x14ac:dyDescent="0.25"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</row>
    <row r="27" spans="2:18" x14ac:dyDescent="0.25"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</row>
    <row r="28" spans="2:18" x14ac:dyDescent="0.25"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</row>
    <row r="29" spans="2:18" x14ac:dyDescent="0.25"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</row>
    <row r="30" spans="2:18" x14ac:dyDescent="0.25"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</row>
    <row r="31" spans="2:18" x14ac:dyDescent="0.25"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</row>
    <row r="32" spans="2:18" x14ac:dyDescent="0.25"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</row>
    <row r="33" spans="2:18" x14ac:dyDescent="0.25"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S50"/>
  <sheetViews>
    <sheetView zoomScale="55" zoomScaleNormal="55" workbookViewId="0">
      <selection activeCell="A42" sqref="A42"/>
    </sheetView>
  </sheetViews>
  <sheetFormatPr defaultRowHeight="15" x14ac:dyDescent="0.25"/>
  <cols>
    <col min="1" max="1" width="74.85546875" bestFit="1" customWidth="1"/>
    <col min="2" max="2" width="18" bestFit="1" customWidth="1"/>
    <col min="3" max="3" width="20.42578125" bestFit="1" customWidth="1"/>
    <col min="4" max="4" width="24.140625" bestFit="1" customWidth="1"/>
    <col min="5" max="5" width="24" hidden="1" customWidth="1"/>
    <col min="6" max="6" width="26.85546875" bestFit="1" customWidth="1"/>
    <col min="7" max="7" width="24.140625" bestFit="1" customWidth="1"/>
    <col min="8" max="8" width="15" bestFit="1" customWidth="1"/>
    <col min="9" max="9" width="15.140625" bestFit="1" customWidth="1"/>
    <col min="10" max="10" width="21.5703125" hidden="1" customWidth="1"/>
    <col min="11" max="11" width="12.5703125" hidden="1" customWidth="1"/>
    <col min="12" max="12" width="14.42578125" customWidth="1"/>
    <col min="13" max="13" width="66.5703125" bestFit="1" customWidth="1"/>
    <col min="14" max="14" width="11.5703125" bestFit="1" customWidth="1"/>
    <col min="15" max="16" width="11.42578125" customWidth="1"/>
    <col min="17" max="17" width="15.5703125" bestFit="1" customWidth="1"/>
    <col min="18" max="18" width="12.5703125" bestFit="1" customWidth="1"/>
    <col min="19" max="19" width="16" bestFit="1" customWidth="1"/>
    <col min="20" max="20" width="12.5703125" customWidth="1"/>
    <col min="21" max="21" width="15" bestFit="1" customWidth="1"/>
  </cols>
  <sheetData>
    <row r="1" spans="1:17" x14ac:dyDescent="0.25">
      <c r="A1" s="5" t="s">
        <v>10</v>
      </c>
      <c r="B1" s="5"/>
      <c r="C1" s="5" t="s">
        <v>0</v>
      </c>
      <c r="D1" s="5" t="s">
        <v>1</v>
      </c>
      <c r="H1" s="5" t="s">
        <v>314</v>
      </c>
      <c r="I1" s="5"/>
      <c r="K1" s="5" t="s">
        <v>132</v>
      </c>
      <c r="M1" s="5" t="s">
        <v>255</v>
      </c>
      <c r="N1" s="5"/>
    </row>
    <row r="2" spans="1:17" x14ac:dyDescent="0.25">
      <c r="A2" s="5"/>
      <c r="B2" s="5" t="s">
        <v>5</v>
      </c>
      <c r="C2" s="5"/>
      <c r="D2" s="5"/>
      <c r="H2" s="5" t="s">
        <v>140</v>
      </c>
      <c r="I2" s="7">
        <v>2.5</v>
      </c>
      <c r="J2" t="s">
        <v>165</v>
      </c>
      <c r="K2" s="7">
        <f>(σ_MIC-1)/σ_MIC</f>
        <v>0.6</v>
      </c>
      <c r="M2" s="5" t="s">
        <v>206</v>
      </c>
      <c r="N2" s="49">
        <v>0.33317294361735922</v>
      </c>
    </row>
    <row r="3" spans="1:17" x14ac:dyDescent="0.25">
      <c r="A3" s="4" t="s">
        <v>9</v>
      </c>
      <c r="B3" s="4" t="s">
        <v>8</v>
      </c>
      <c r="C3" s="9">
        <f>'Вид для портала'!C3</f>
        <v>72.14</v>
      </c>
      <c r="D3" s="12">
        <f>'Вид для портала'!D3</f>
        <v>86.567999999999998</v>
      </c>
      <c r="H3" s="5" t="s">
        <v>141</v>
      </c>
      <c r="I3" s="7">
        <v>2.25</v>
      </c>
      <c r="J3" t="s">
        <v>166</v>
      </c>
      <c r="K3" s="7">
        <f>(σ_PDP-1)/σ_PDP</f>
        <v>0.55555555555555558</v>
      </c>
      <c r="M3" s="5" t="s">
        <v>227</v>
      </c>
      <c r="N3" s="49">
        <v>0.62187621874261678</v>
      </c>
    </row>
    <row r="4" spans="1:17" x14ac:dyDescent="0.25">
      <c r="A4" s="5" t="s">
        <v>312</v>
      </c>
      <c r="B4" s="5" t="s">
        <v>134</v>
      </c>
      <c r="C4" s="53">
        <f>'Вид для портала'!C4</f>
        <v>0.18</v>
      </c>
      <c r="D4" s="7"/>
      <c r="H4" s="13" t="s">
        <v>173</v>
      </c>
      <c r="I4" s="7">
        <v>2.95</v>
      </c>
      <c r="J4" t="s">
        <v>175</v>
      </c>
      <c r="K4" s="7">
        <f>(Ω_FDP+1)/Ω_FDP</f>
        <v>1.3389830508474576</v>
      </c>
      <c r="M4" s="5" t="s">
        <v>224</v>
      </c>
      <c r="N4" s="5">
        <v>0.54400000000000004</v>
      </c>
    </row>
    <row r="5" spans="1:17" x14ac:dyDescent="0.25">
      <c r="A5" s="5" t="s">
        <v>135</v>
      </c>
      <c r="B5" s="5" t="s">
        <v>136</v>
      </c>
      <c r="C5" s="10">
        <f>'Вид для портала'!C5</f>
        <v>1.29</v>
      </c>
      <c r="D5" s="11">
        <f>'Вид для портала'!D5</f>
        <v>0</v>
      </c>
      <c r="H5" s="5"/>
      <c r="I5" s="5"/>
      <c r="K5" s="5" t="s">
        <v>133</v>
      </c>
      <c r="M5" s="13" t="s">
        <v>231</v>
      </c>
      <c r="N5" s="50">
        <f>'Рентабельность (Росстат)'!K6/100</f>
        <v>9.8000000000000004E-2</v>
      </c>
    </row>
    <row r="6" spans="1:17" x14ac:dyDescent="0.25">
      <c r="A6" s="4" t="s">
        <v>137</v>
      </c>
      <c r="B6" s="4" t="s">
        <v>138</v>
      </c>
      <c r="C6" s="10">
        <f>'Вид для портала'!C6</f>
        <v>1.8906189062869162E-2</v>
      </c>
      <c r="D6" s="11">
        <f>'Вид для портала'!D6</f>
        <v>0</v>
      </c>
      <c r="H6" s="13" t="s">
        <v>142</v>
      </c>
      <c r="I6" s="7">
        <v>10</v>
      </c>
      <c r="J6" t="s">
        <v>176</v>
      </c>
      <c r="K6" s="7">
        <f>Q_MMI_0/((P_MMI_0/(ER_0*(1+TMMI_0)*(1+NMMI_0)))^ε_MMI)</f>
        <v>4665294485722.7158</v>
      </c>
      <c r="M6" s="13" t="s">
        <v>311</v>
      </c>
      <c r="N6" s="51">
        <f>SVA_0- N4</f>
        <v>14.142756</v>
      </c>
    </row>
    <row r="7" spans="1:17" x14ac:dyDescent="0.25">
      <c r="A7" s="4" t="s">
        <v>167</v>
      </c>
      <c r="B7" s="4" t="s">
        <v>139</v>
      </c>
      <c r="C7" s="15">
        <f>Q_MDI_0/Q_PDC_0</f>
        <v>0.91304347826086951</v>
      </c>
      <c r="D7" s="15">
        <f>(1-EXP(-P_MDI_1/Λ_1))</f>
        <v>0.91929809667619344</v>
      </c>
      <c r="E7" s="30"/>
      <c r="F7" s="69"/>
      <c r="G7" s="68"/>
      <c r="H7" s="13" t="s">
        <v>143</v>
      </c>
      <c r="I7" s="7">
        <v>0.3</v>
      </c>
      <c r="J7" t="s">
        <v>177</v>
      </c>
      <c r="K7" s="7">
        <f>Q_FDP_0/(P_FDP_0)^ε_FDP</f>
        <v>713.54908800819021</v>
      </c>
      <c r="M7" s="5" t="s">
        <v>337</v>
      </c>
      <c r="N7" s="29">
        <f>'Налоговая нагрузка (ФНС)'!B19/100</f>
        <v>3.3741200436522373E-2</v>
      </c>
    </row>
    <row r="8" spans="1:17" x14ac:dyDescent="0.25">
      <c r="A8" s="4" t="s">
        <v>146</v>
      </c>
      <c r="B8" s="17" t="s">
        <v>147</v>
      </c>
      <c r="C8" s="20">
        <f>-P_MDI_0/LN(1-K_0)</f>
        <v>6.1985458171023069</v>
      </c>
      <c r="D8" s="20">
        <f>Λ_0</f>
        <v>6.1985458171023069</v>
      </c>
      <c r="H8" s="13" t="s">
        <v>144</v>
      </c>
      <c r="I8" s="7">
        <f>'Эластичность спроса'!C11</f>
        <v>-0.88222222222222213</v>
      </c>
      <c r="J8" t="s">
        <v>178</v>
      </c>
      <c r="K8" s="7">
        <f>Q_PDP_0/(P_PDP_0)^ε_PDP</f>
        <v>84980.91466692707</v>
      </c>
      <c r="M8" s="5" t="s">
        <v>390</v>
      </c>
      <c r="N8" s="52">
        <f>0.2</f>
        <v>0.2</v>
      </c>
    </row>
    <row r="9" spans="1:17" x14ac:dyDescent="0.25">
      <c r="A9" s="4" t="s">
        <v>204</v>
      </c>
      <c r="B9" s="4" t="s">
        <v>156</v>
      </c>
      <c r="C9" s="9">
        <f>'Вид для портала'!C8</f>
        <v>14.686756000000001</v>
      </c>
      <c r="D9" s="19">
        <f>SVA_0</f>
        <v>14.686756000000001</v>
      </c>
      <c r="H9" s="13" t="s">
        <v>145</v>
      </c>
      <c r="I9" s="7">
        <v>1</v>
      </c>
      <c r="J9" t="s">
        <v>179</v>
      </c>
      <c r="K9" s="7">
        <f>Q_PXM_0/(1/ER_0)^ε_PXM</f>
        <v>13057.34</v>
      </c>
    </row>
    <row r="10" spans="1:17" x14ac:dyDescent="0.25">
      <c r="A10" s="4" t="s">
        <v>185</v>
      </c>
      <c r="B10" s="5" t="s">
        <v>186</v>
      </c>
      <c r="C10" s="6">
        <f>Q_SDP_0/(Q_MIC_0*SH_0)</f>
        <v>0.90723403431456184</v>
      </c>
      <c r="D10" s="6">
        <f>OUT_0</f>
        <v>0.90723403431456184</v>
      </c>
      <c r="H10" s="13" t="s">
        <v>174</v>
      </c>
      <c r="I10" s="7">
        <v>-10</v>
      </c>
      <c r="J10" t="s">
        <v>180</v>
      </c>
      <c r="K10" s="7">
        <f>Q_FXP_0/(P_FXP_0/ER_0)^ε_FXP</f>
        <v>5.0068157610303983</v>
      </c>
    </row>
    <row r="11" spans="1:17" x14ac:dyDescent="0.25">
      <c r="A11" s="4" t="s">
        <v>205</v>
      </c>
      <c r="B11" s="5" t="s">
        <v>187</v>
      </c>
      <c r="C11" s="10">
        <f>'Вид для портала'!C9</f>
        <v>0.85550000000000004</v>
      </c>
      <c r="D11" s="6">
        <f>SH_0</f>
        <v>0.85550000000000004</v>
      </c>
    </row>
    <row r="12" spans="1:17" x14ac:dyDescent="0.25">
      <c r="A12" s="5" t="s">
        <v>229</v>
      </c>
      <c r="B12" s="5"/>
      <c r="C12" s="29">
        <f>K_0*OUT_0*SH_0</f>
        <v>0.70864839319470696</v>
      </c>
      <c r="D12" s="29">
        <f>K_1*OUT_1*SH_1</f>
        <v>0.71350284470287384</v>
      </c>
      <c r="E12" s="8"/>
    </row>
    <row r="14" spans="1:17" ht="15.75" thickBot="1" x14ac:dyDescent="0.3">
      <c r="A14" s="2"/>
      <c r="B14" s="2"/>
      <c r="C14" s="8"/>
      <c r="D14" s="8"/>
      <c r="E14" s="22"/>
      <c r="G14" s="2"/>
      <c r="L14" s="1"/>
    </row>
    <row r="15" spans="1:17" ht="15.75" thickBot="1" x14ac:dyDescent="0.3">
      <c r="A15" s="26" t="str">
        <f>IF(SUMSQ($B$31:$B$50)&lt;0.000001,"Решение найдено","Решение не найдено")</f>
        <v>Решение найдено</v>
      </c>
      <c r="B15" s="2"/>
      <c r="C15" s="8"/>
      <c r="D15" s="8"/>
      <c r="E15" s="8"/>
      <c r="L15" s="1"/>
    </row>
    <row r="16" spans="1:17" x14ac:dyDescent="0.25">
      <c r="A16" s="25"/>
      <c r="B16" s="5"/>
      <c r="C16" s="5" t="s">
        <v>0</v>
      </c>
      <c r="D16" s="5"/>
      <c r="E16" s="5" t="s">
        <v>131</v>
      </c>
      <c r="F16" s="5" t="s">
        <v>1</v>
      </c>
      <c r="G16" s="5"/>
      <c r="H16" s="14" t="s">
        <v>7</v>
      </c>
      <c r="I16" s="5"/>
      <c r="M16" s="5" t="s">
        <v>313</v>
      </c>
      <c r="N16" s="13" t="s">
        <v>209</v>
      </c>
      <c r="O16" s="5" t="s">
        <v>1</v>
      </c>
      <c r="P16" s="5" t="s">
        <v>210</v>
      </c>
      <c r="Q16" s="5" t="s">
        <v>210</v>
      </c>
    </row>
    <row r="17" spans="1:19" x14ac:dyDescent="0.25">
      <c r="A17" s="5" t="s">
        <v>4</v>
      </c>
      <c r="B17" s="5" t="s">
        <v>5</v>
      </c>
      <c r="C17" s="5" t="s">
        <v>163</v>
      </c>
      <c r="D17" s="5" t="s">
        <v>11</v>
      </c>
      <c r="E17" s="5"/>
      <c r="F17" s="5" t="s">
        <v>163</v>
      </c>
      <c r="G17" s="5" t="s">
        <v>11</v>
      </c>
      <c r="H17" s="14" t="s">
        <v>2</v>
      </c>
      <c r="I17" s="5" t="s">
        <v>3</v>
      </c>
      <c r="M17" s="5"/>
      <c r="N17" s="5" t="s">
        <v>207</v>
      </c>
      <c r="O17" s="5" t="s">
        <v>207</v>
      </c>
      <c r="P17" s="5" t="s">
        <v>207</v>
      </c>
      <c r="Q17" s="72" t="s">
        <v>407</v>
      </c>
    </row>
    <row r="18" spans="1:19" x14ac:dyDescent="0.25">
      <c r="A18" s="5" t="s">
        <v>148</v>
      </c>
      <c r="B18" s="5" t="s">
        <v>154</v>
      </c>
      <c r="C18" s="20">
        <f>P_MMI_USD_0*ER_0*(1+TMMI_0)</f>
        <v>13.230700646219168</v>
      </c>
      <c r="D18" s="16">
        <f>'Вид для портала'!D31</f>
        <v>42</v>
      </c>
      <c r="E18" s="18">
        <f>(Q_MMI_0/Q_MDI_0)^(1-r_σ_MIC)*(P_MMI_0/P_MDI_0)</f>
        <v>0.14383649691221068</v>
      </c>
      <c r="F18" s="20">
        <v>7.8092201705198532</v>
      </c>
      <c r="G18" s="20">
        <v>166.48760292427741</v>
      </c>
      <c r="H18" s="32">
        <f>P_MMI_1/P_MMI_0-1</f>
        <v>-0.40976518331616607</v>
      </c>
      <c r="I18" s="15">
        <f>Q_MMI_1/Q_MMI_0-1</f>
        <v>2.9639905458161286</v>
      </c>
      <c r="J18" s="23">
        <f>Q_MMI_1-Q_MMI_0</f>
        <v>124.48760292427741</v>
      </c>
      <c r="L18" s="27"/>
      <c r="M18" s="5" t="s">
        <v>208</v>
      </c>
      <c r="N18" s="7">
        <f>(P_MMI_0*Q_MMI_0)*TMMI_0</f>
        <v>10.50596936976908</v>
      </c>
      <c r="O18" s="7">
        <f>(P_MMI_1*Q_MMI_1)*TMMI_1</f>
        <v>0</v>
      </c>
      <c r="P18" s="7">
        <f>O18-N18</f>
        <v>-10.50596936976908</v>
      </c>
      <c r="Q18" s="6">
        <f>O18/N18-1</f>
        <v>-1</v>
      </c>
    </row>
    <row r="19" spans="1:19" x14ac:dyDescent="0.25">
      <c r="A19" s="5" t="s">
        <v>164</v>
      </c>
      <c r="B19" s="5" t="s">
        <v>162</v>
      </c>
      <c r="C19" s="16">
        <f>'Вид для портала'!C32</f>
        <v>15.138999999999999</v>
      </c>
      <c r="D19" s="16">
        <f>'Вид для портала'!D32</f>
        <v>3822</v>
      </c>
      <c r="E19" s="18">
        <v>1</v>
      </c>
      <c r="F19" s="20">
        <v>15.601697168256912</v>
      </c>
      <c r="G19" s="20">
        <v>3760.960005783304</v>
      </c>
      <c r="H19" s="32">
        <f>P_MDI_1/P_MDI_0-1</f>
        <v>3.0563258356358647E-2</v>
      </c>
      <c r="I19" s="15">
        <f>Q_MDI_1/Q_MDI_0-1</f>
        <v>-1.5970694457534296E-2</v>
      </c>
      <c r="J19" s="27">
        <f>Q_MDI_1-Q_MDI_0</f>
        <v>-61.039994216695959</v>
      </c>
      <c r="L19" s="27"/>
      <c r="M19" s="5" t="s">
        <v>225</v>
      </c>
      <c r="N19" s="4">
        <f>P_SDP_0*Q_SDP_0*Tax+Lab*Q_SDP_0*47/130</f>
        <v>3762.2249382554037</v>
      </c>
      <c r="O19" s="4">
        <f>P_SDP_1*Q_SDP_1*Tax+Lab*Q_SDP_1*47/130</f>
        <v>3841.3592085652713</v>
      </c>
      <c r="P19" s="7">
        <f>O19-N19</f>
        <v>79.134270309867588</v>
      </c>
      <c r="Q19" s="73">
        <f>O19/N19-1</f>
        <v>2.1033901908736885E-2</v>
      </c>
    </row>
    <row r="20" spans="1:19" x14ac:dyDescent="0.25">
      <c r="A20" s="5" t="s">
        <v>150</v>
      </c>
      <c r="B20" s="5" t="s">
        <v>155</v>
      </c>
      <c r="C20" s="20">
        <f>(P_MDI_0*Q_MDI_0+P_MMI_0*Q_MMI_0)/Q_MIC_0</f>
        <v>15.118257615719772</v>
      </c>
      <c r="D20" s="20">
        <f>Q_MDI_0+Q_MMI_0</f>
        <v>3864</v>
      </c>
      <c r="E20" s="18">
        <f>Q_MIC_0/(K_MMI*Q_MMI_0^r_σ_MIC+K_MDI*Q_MDI_0^r_σ_MIC)^(1/r_σ_MIC)</f>
        <v>0.99501155111404671</v>
      </c>
      <c r="F20" s="20">
        <v>15.271367919915447</v>
      </c>
      <c r="G20" s="20">
        <v>3927.4476087075809</v>
      </c>
      <c r="H20" s="32">
        <f>P_MIC_1/P_MIC_0-1</f>
        <v>1.0127509934509504E-2</v>
      </c>
      <c r="I20" s="15">
        <f>Q_MIC_1/Q_MIC_0-1</f>
        <v>1.6420188588918361E-2</v>
      </c>
      <c r="J20" s="23">
        <f>Q_MIC_1-Q_MIC_0</f>
        <v>63.447608707580912</v>
      </c>
      <c r="L20" s="27"/>
      <c r="M20" s="5" t="s">
        <v>226</v>
      </c>
      <c r="N20" s="28">
        <f>Tax*P_FDP_0*Q_FDP_0+Lab*Q_FDP_0*47/130</f>
        <v>3142.5403967876432</v>
      </c>
      <c r="O20" s="28">
        <f>Tax*P_FDP_1*Q_FDP_1+Lab*Q_FDP_1*47/130</f>
        <v>3737.2415301492401</v>
      </c>
      <c r="P20" s="7">
        <f>O20-N20</f>
        <v>594.70113336159693</v>
      </c>
      <c r="Q20" s="73">
        <f t="shared" ref="Q20" si="0">O20/N20-1</f>
        <v>0.18924216025019458</v>
      </c>
    </row>
    <row r="21" spans="1:19" x14ac:dyDescent="0.25">
      <c r="A21" s="5" t="s">
        <v>149</v>
      </c>
      <c r="B21" s="5" t="s">
        <v>157</v>
      </c>
      <c r="C21" s="20">
        <f>P_MIC_0/OUT_0+SVA_0</f>
        <v>31.3508768816003</v>
      </c>
      <c r="D21" s="16">
        <f>'Вид для портала'!D34</f>
        <v>2999</v>
      </c>
      <c r="E21" s="18">
        <v>1</v>
      </c>
      <c r="F21" s="20">
        <v>31.519642931378577</v>
      </c>
      <c r="G21" s="20">
        <v>3048.2441455781654</v>
      </c>
      <c r="H21" s="32">
        <f>P_SDP_1/P_SDP_0-1</f>
        <v>5.383136504144348E-3</v>
      </c>
      <c r="I21" s="15">
        <f>Q_SDP_1/Q_SDP_0-1</f>
        <v>1.6420188588918139E-2</v>
      </c>
      <c r="J21" s="23">
        <f>Q_SDP_1-Q_SDP_0</f>
        <v>49.244145578165444</v>
      </c>
      <c r="L21" s="27"/>
      <c r="M21" s="5" t="s">
        <v>391</v>
      </c>
      <c r="N21" s="28">
        <f>(P_PDP_0*Q_PDP_0)*'Рентабельность (ФНС) '!B15/100*VAT</f>
        <v>3117.6680263372309</v>
      </c>
      <c r="O21" s="28">
        <f>N21+P21</f>
        <v>2645.2787925706912</v>
      </c>
      <c r="P21" s="7">
        <f>((P_PDP_0-P_PDP_1)*(Q_PDP_1+Q_PDP_0)/2)*0.2</f>
        <v>-472.38923376653969</v>
      </c>
      <c r="Q21" s="73">
        <f>P21/N21</f>
        <v>-0.15152005594435361</v>
      </c>
      <c r="R21" s="2"/>
      <c r="S21" s="71"/>
    </row>
    <row r="22" spans="1:19" x14ac:dyDescent="0.25">
      <c r="A22" s="5" t="s">
        <v>169</v>
      </c>
      <c r="B22" s="5" t="s">
        <v>168</v>
      </c>
      <c r="C22" s="20">
        <f>(P_FDP_0*Q_FDP_0-P_FXP_0*Q_FXP_0)/Q_FDC_0</f>
        <v>33.550695825049701</v>
      </c>
      <c r="D22" s="16">
        <f>'Вид для портала'!D35</f>
        <v>1006</v>
      </c>
      <c r="E22" s="18">
        <f>(Q_FDC_0/Q_SDP_0)^(1-r_σ_PDP)*(P_FDC_0/P_SDP_0)</f>
        <v>0.6585927672043298</v>
      </c>
      <c r="F22" s="20">
        <v>35.841159758298652</v>
      </c>
      <c r="G22" s="20">
        <v>892.04380089302992</v>
      </c>
      <c r="H22" s="32">
        <f>P_FDC_1/P_FDC_0-1</f>
        <v>6.8268746055002438E-2</v>
      </c>
      <c r="I22" s="15">
        <f>Q_FDC_1/Q_FDC_0-1</f>
        <v>-0.11327653986776354</v>
      </c>
      <c r="J22" s="23">
        <f>Q_FDC_1-Q_FDC_0</f>
        <v>-113.95619910697008</v>
      </c>
      <c r="L22" s="27"/>
      <c r="M22" s="31" t="s">
        <v>230</v>
      </c>
      <c r="N22" s="4">
        <f>SUM(N18:N21)</f>
        <v>10032.939330750047</v>
      </c>
      <c r="O22" s="4">
        <f>N22+P22</f>
        <v>10223.879531285202</v>
      </c>
      <c r="P22" s="7">
        <f>SUM(P18:P21)</f>
        <v>190.94020053515572</v>
      </c>
      <c r="Q22" s="73">
        <f>P22/N22</f>
        <v>1.9031332119186783E-2</v>
      </c>
    </row>
    <row r="23" spans="1:19" x14ac:dyDescent="0.25">
      <c r="A23" s="5" t="s">
        <v>151</v>
      </c>
      <c r="B23" s="5" t="s">
        <v>159</v>
      </c>
      <c r="C23" s="20">
        <f>(P_SDP_0*Q_SDP_0+P_FDC_0*Q_FDC_0)/Q_PDP_0</f>
        <v>31.903440641178353</v>
      </c>
      <c r="D23" s="20">
        <f>Q_SDP_0+Q_FDC_0</f>
        <v>4005</v>
      </c>
      <c r="E23" s="18">
        <f>Q_PDP_0/(K_SDP*Q_SDP_0^r_σ_PDP+K_FDC*Q_FDC_0^r_σ_PDP)^(1/r_σ_PDP)</f>
        <v>0.76884901572484499</v>
      </c>
      <c r="F23" s="20">
        <v>32.497993333225651</v>
      </c>
      <c r="G23" s="20">
        <v>3940.2879464711959</v>
      </c>
      <c r="H23" s="32">
        <f>P_PDP_1/P_PDP_0-1</f>
        <v>1.8636005399364386E-2</v>
      </c>
      <c r="I23" s="15">
        <f>Q_PDP_1/Q_PDP_0-1</f>
        <v>-1.6157816112060908E-2</v>
      </c>
      <c r="J23" s="23">
        <f>Q_PDP_1-Q_PDP_0</f>
        <v>-64.712053528804063</v>
      </c>
      <c r="L23" s="70"/>
      <c r="M23" s="4"/>
      <c r="N23" s="28"/>
      <c r="O23" s="28"/>
      <c r="P23" s="4"/>
      <c r="Q23" s="5"/>
    </row>
    <row r="24" spans="1:19" x14ac:dyDescent="0.25">
      <c r="A24" s="5" t="s">
        <v>152</v>
      </c>
      <c r="B24" s="5" t="s">
        <v>160</v>
      </c>
      <c r="C24" s="20">
        <f>P_MDI_0</f>
        <v>15.138999999999999</v>
      </c>
      <c r="D24" s="20">
        <f>Q_PDC_0-Q_PDP_0</f>
        <v>181</v>
      </c>
      <c r="E24" s="18"/>
      <c r="F24" s="20">
        <v>15.601697168256912</v>
      </c>
      <c r="G24" s="20">
        <v>150.83333333333329</v>
      </c>
      <c r="H24" s="32">
        <f>P_PXM_1/P_PXM_0-1</f>
        <v>3.0563258356358647E-2</v>
      </c>
      <c r="I24" s="15">
        <f>Q_PXM_1/Q_PXM_0-1</f>
        <v>-0.16666666666666696</v>
      </c>
      <c r="J24" s="23">
        <f>Q_PXM_1-Q_PXM_0</f>
        <v>-30.166666666666714</v>
      </c>
      <c r="L24" s="27"/>
      <c r="M24" s="5" t="s">
        <v>388</v>
      </c>
      <c r="N24" s="28">
        <f>(P_PDP_0*Q_PDP_0)*'Рентабельность (ФНС) '!B15/100*0.8</f>
        <v>12470.672105348924</v>
      </c>
      <c r="O24" s="28">
        <f>N24+P24</f>
        <v>10581.115170282765</v>
      </c>
      <c r="P24" s="4">
        <f>((P_PDP_0-P_PDP_1)*(Q_PDP_1+Q_PDP_0)/2)*0.8</f>
        <v>-1889.5569350661588</v>
      </c>
      <c r="Q24" s="73">
        <f>P24/N24</f>
        <v>-0.15152005594435361</v>
      </c>
    </row>
    <row r="25" spans="1:19" x14ac:dyDescent="0.25">
      <c r="A25" s="5" t="s">
        <v>153</v>
      </c>
      <c r="B25" s="5" t="s">
        <v>161</v>
      </c>
      <c r="C25" s="20">
        <f>P_MDI_0</f>
        <v>15.138999999999999</v>
      </c>
      <c r="D25" s="16">
        <f>'Вид для портала'!D38</f>
        <v>4186</v>
      </c>
      <c r="E25" s="18"/>
      <c r="F25" s="20">
        <v>15.601697168256912</v>
      </c>
      <c r="G25" s="20">
        <v>4091.1212798045276</v>
      </c>
      <c r="H25" s="32">
        <f>P_PDC_1/P_PDC_0-1</f>
        <v>3.0563258356358647E-2</v>
      </c>
      <c r="I25" s="15">
        <f>Q_PDC_1/Q_PDC_0-1</f>
        <v>-2.2665723888072753E-2</v>
      </c>
      <c r="J25" s="23">
        <f>Q_PDC_1-Q_PDC_0</f>
        <v>-94.878720195472397</v>
      </c>
      <c r="L25" s="27"/>
      <c r="M25" s="5" t="s">
        <v>308</v>
      </c>
      <c r="N25" s="28">
        <f>P_SDP_0*Q_SDP_0*profit*0.8</f>
        <v>7371.2683338048737</v>
      </c>
      <c r="O25" s="28">
        <f t="shared" ref="O25:O28" si="1">N25+P25</f>
        <v>7532.638055645054</v>
      </c>
      <c r="P25" s="7">
        <f>(P_SDP_1*Q_SDP_1-P_SDP_0*Q_SDP_0)*profit*0.8</f>
        <v>161.3697218401804</v>
      </c>
      <c r="Q25" s="73">
        <f t="shared" ref="Q25:Q27" si="2">P25/N25</f>
        <v>2.1891717209660332E-2</v>
      </c>
    </row>
    <row r="26" spans="1:19" x14ac:dyDescent="0.25">
      <c r="A26" s="5" t="s">
        <v>170</v>
      </c>
      <c r="B26" s="5" t="s">
        <v>158</v>
      </c>
      <c r="C26" s="16">
        <f>'Вид для портала'!C39</f>
        <v>38</v>
      </c>
      <c r="D26" s="16">
        <f>'Вид для портала'!D39</f>
        <v>2125</v>
      </c>
      <c r="E26" s="18"/>
      <c r="F26" s="20">
        <v>44.03846291455995</v>
      </c>
      <c r="G26" s="20">
        <v>2221.1275608246965</v>
      </c>
      <c r="H26" s="15">
        <f>P_FDP_1/P_FDP_0-1</f>
        <v>0.15890691880420915</v>
      </c>
      <c r="I26" s="15">
        <f>Q_FDP_1/Q_FDP_0-1</f>
        <v>4.5236499211621872E-2</v>
      </c>
      <c r="J26" s="23">
        <f>Q_FDP_1-Q_FDP_0</f>
        <v>96.127560824696502</v>
      </c>
      <c r="L26" s="27"/>
      <c r="M26" s="5" t="s">
        <v>309</v>
      </c>
      <c r="N26" s="5">
        <f>P_FDP_0*Q_FDP_0*profit*0.8</f>
        <v>6330.8</v>
      </c>
      <c r="O26" s="28">
        <f t="shared" si="1"/>
        <v>7668.6994273254159</v>
      </c>
      <c r="P26" s="7">
        <f>(P_FDP_1*Q_FDP_1-P_FDP_0*Q_FDP_0)*profit*0.8</f>
        <v>1337.8994273254157</v>
      </c>
      <c r="Q26" s="73">
        <f>P26/N26</f>
        <v>0.21133181072303905</v>
      </c>
    </row>
    <row r="27" spans="1:19" x14ac:dyDescent="0.25">
      <c r="A27" s="5" t="s">
        <v>171</v>
      </c>
      <c r="B27" s="5" t="s">
        <v>172</v>
      </c>
      <c r="C27" s="16">
        <f>'Вид для портала'!C40</f>
        <v>42</v>
      </c>
      <c r="D27" s="20">
        <f>Q_FDP_0-Q_FDC_0</f>
        <v>1119</v>
      </c>
      <c r="E27" s="18">
        <f>((Q_FXP_0/Q_FDC_0)^(1-r_Ω_FDP))*(P_FXP_0*K_FDC/P_FDC_0)</f>
        <v>0.79523010974604347</v>
      </c>
      <c r="F27" s="20">
        <v>49.540263241232324</v>
      </c>
      <c r="G27" s="20">
        <v>1329.0837599316676</v>
      </c>
      <c r="H27" s="15">
        <f>P_FXP_1/P_FXP_0-1</f>
        <v>0.17953007717219815</v>
      </c>
      <c r="I27" s="15">
        <f>Q_FXP_1/Q_FXP_0-1</f>
        <v>0.18774241280756709</v>
      </c>
      <c r="J27" s="23">
        <f>Q_FXP_1-Q_FXP_0</f>
        <v>210.0837599316676</v>
      </c>
      <c r="M27" s="5" t="s">
        <v>389</v>
      </c>
      <c r="N27" s="7">
        <f>Q_SDP_0*Lab+Q_FDP_0*Lab</f>
        <v>2787.4560000000001</v>
      </c>
      <c r="O27" s="28">
        <f t="shared" si="1"/>
        <v>2866.538208283157</v>
      </c>
      <c r="P27" s="7">
        <f>(Q_SDP_1-Q_SDP_0)*Lab+(Q_FDP_1-Q_FDP_0)*Lab</f>
        <v>79.082208283156902</v>
      </c>
      <c r="Q27" s="73">
        <f t="shared" si="2"/>
        <v>2.8370746760902021E-2</v>
      </c>
    </row>
    <row r="28" spans="1:19" x14ac:dyDescent="0.25">
      <c r="C28" s="21"/>
      <c r="D28" s="21"/>
      <c r="E28" s="23"/>
      <c r="F28" s="21"/>
      <c r="G28" s="21"/>
      <c r="H28" s="22"/>
      <c r="I28" s="22"/>
      <c r="M28" s="7" t="s">
        <v>406</v>
      </c>
      <c r="N28" s="7">
        <f>SUM(N24:N27)</f>
        <v>28960.196439153799</v>
      </c>
      <c r="O28" s="28">
        <f t="shared" si="1"/>
        <v>28648.990861536393</v>
      </c>
      <c r="P28" s="7">
        <f>SUM(P24:P27)</f>
        <v>-311.20557761740588</v>
      </c>
      <c r="Q28" s="73">
        <f>P28/N28</f>
        <v>-1.0745976059632666E-2</v>
      </c>
    </row>
    <row r="29" spans="1:19" x14ac:dyDescent="0.25">
      <c r="P29" s="27"/>
    </row>
    <row r="30" spans="1:19" x14ac:dyDescent="0.25">
      <c r="A30" t="s">
        <v>6</v>
      </c>
      <c r="D30" s="3"/>
      <c r="E30" s="3"/>
    </row>
    <row r="31" spans="1:19" x14ac:dyDescent="0.25">
      <c r="A31" t="s">
        <v>181</v>
      </c>
      <c r="B31" s="24">
        <f>Q_MMI_1-Z_MMI*(P_MMI_1/((1+NMMI_1)*(1+TMMI_1)*ER_1))^ε_MMI</f>
        <v>1.6913735976231692E-6</v>
      </c>
    </row>
    <row r="32" spans="1:19" x14ac:dyDescent="0.25">
      <c r="A32" t="s">
        <v>182</v>
      </c>
      <c r="B32" s="24">
        <f>P_MIC_1*Q_MIC_1-P_MDI_1*Q_MDI_1-P_MMI_1*Q_MMI_1</f>
        <v>-2.8906083571200725E-7</v>
      </c>
    </row>
    <row r="33" spans="1:2" x14ac:dyDescent="0.25">
      <c r="A33" t="s">
        <v>183</v>
      </c>
      <c r="B33" s="24">
        <f>Q_MMI_1/Q_MDI_1-((P_MMI_1/(P_MDI_1))*(K_MDI/K_MMI))^(1/(r_σ_MIC-1))</f>
        <v>3.1182792459283348E-11</v>
      </c>
    </row>
    <row r="34" spans="1:2" x14ac:dyDescent="0.25">
      <c r="A34" t="s">
        <v>184</v>
      </c>
      <c r="B34" s="24">
        <f>Q_MIC_1-Q_MDI_1-Q_MMI_1</f>
        <v>-5.4001247917767614E-13</v>
      </c>
    </row>
    <row r="35" spans="1:2" x14ac:dyDescent="0.25">
      <c r="A35" t="s">
        <v>199</v>
      </c>
      <c r="B35" s="24">
        <f>P_SDP_1-P_MIC_1/OUT_1-SVA_1</f>
        <v>0</v>
      </c>
    </row>
    <row r="36" spans="1:2" x14ac:dyDescent="0.25">
      <c r="A36" t="s">
        <v>200</v>
      </c>
      <c r="B36" s="24">
        <f>Q_SDP_1-Q_MIC_1*OUT_1*SH_1</f>
        <v>0</v>
      </c>
    </row>
    <row r="37" spans="1:2" x14ac:dyDescent="0.25">
      <c r="A37" t="s">
        <v>188</v>
      </c>
      <c r="B37" s="24">
        <f>Q_FDP_1-Z_FDP*(P_FDP_1)^ε_FDP</f>
        <v>-3.637978807091713E-12</v>
      </c>
    </row>
    <row r="38" spans="1:2" x14ac:dyDescent="0.25">
      <c r="A38" t="s">
        <v>189</v>
      </c>
      <c r="B38" s="24">
        <f>P_FDP_1*Q_FDP_1-P_FDC_1*Q_FDC_1-P_FXP_1*Q_FXP_1</f>
        <v>1.6720150597393513E-8</v>
      </c>
    </row>
    <row r="39" spans="1:2" x14ac:dyDescent="0.25">
      <c r="A39" t="s">
        <v>190</v>
      </c>
      <c r="B39" s="24">
        <f>Q_FXP_1/Q_FDC_1-((P_FXP_1/(P_FDC_1))*(K_FDC/K_FXP))^(1/(r_Ω_FDP-1))</f>
        <v>3.4061642395499803E-13</v>
      </c>
    </row>
    <row r="40" spans="1:2" x14ac:dyDescent="0.25">
      <c r="A40" t="s">
        <v>191</v>
      </c>
      <c r="B40" s="24">
        <f>Q_FDP_1-Q_FDC_1-Q_FXP_1</f>
        <v>0</v>
      </c>
    </row>
    <row r="41" spans="1:2" x14ac:dyDescent="0.25">
      <c r="A41" t="s">
        <v>192</v>
      </c>
      <c r="B41" s="24">
        <f>Q_FXP_1-Z_FXP*(P_FXP_1/ER_1)^ε_FXP</f>
        <v>2.8035174182150513E-10</v>
      </c>
    </row>
    <row r="42" spans="1:2" x14ac:dyDescent="0.25">
      <c r="A42" t="s">
        <v>193</v>
      </c>
      <c r="B42" s="24">
        <f>P_PDP_1*Q_PDP_1-P_SDP_1*Q_SDP_1-P_FDC_1*Q_FDC_1</f>
        <v>-8.5681676864624023E-8</v>
      </c>
    </row>
    <row r="43" spans="1:2" x14ac:dyDescent="0.25">
      <c r="A43" t="s">
        <v>194</v>
      </c>
      <c r="B43" s="24">
        <f>Q_SDP_1/Q_FDC_1-((P_SDP_1/(P_FDC_1))*(K_FDC/K_SDP))^(1/(r_σ_PDP-1))</f>
        <v>2.2728929849336055E-11</v>
      </c>
    </row>
    <row r="44" spans="1:2" x14ac:dyDescent="0.25">
      <c r="A44" t="s">
        <v>195</v>
      </c>
      <c r="B44" s="24">
        <f>Q_PDP_1-Q_SDP_1-Q_FDC_1</f>
        <v>0</v>
      </c>
    </row>
    <row r="45" spans="1:2" x14ac:dyDescent="0.25">
      <c r="A45" t="s">
        <v>196</v>
      </c>
      <c r="B45" s="24">
        <f>Q_PDP_1-Z_PDP*(P_PDP_1)^ε_PDP</f>
        <v>1.0668372851796448E-8</v>
      </c>
    </row>
    <row r="46" spans="1:2" x14ac:dyDescent="0.25">
      <c r="A46" t="s">
        <v>197</v>
      </c>
      <c r="B46" s="24">
        <f>Q_PXM_1-Z_PXM*(1/ER_1)^ε_PXM</f>
        <v>0</v>
      </c>
    </row>
    <row r="47" spans="1:2" x14ac:dyDescent="0.25">
      <c r="A47" t="s">
        <v>198</v>
      </c>
      <c r="B47" s="24">
        <f>Q_PDC_1-Q_PXM_1-Q_PDP_1</f>
        <v>0</v>
      </c>
    </row>
    <row r="48" spans="1:2" x14ac:dyDescent="0.25">
      <c r="A48" t="s">
        <v>201</v>
      </c>
      <c r="B48" s="24">
        <f>P_PDC_1-P_MDI_1</f>
        <v>0</v>
      </c>
    </row>
    <row r="49" spans="1:2" x14ac:dyDescent="0.25">
      <c r="A49" t="s">
        <v>203</v>
      </c>
      <c r="B49" s="24">
        <f>Q_MDI_1-Q_PDC_1*(1-EXP(-P_MDI_1/Λ_1))</f>
        <v>-1.2470991350710392E-8</v>
      </c>
    </row>
    <row r="50" spans="1:2" x14ac:dyDescent="0.25">
      <c r="A50" t="s">
        <v>202</v>
      </c>
      <c r="B50" s="24">
        <f>P_PXM_1-P_MDI_1</f>
        <v>0</v>
      </c>
    </row>
  </sheetData>
  <scenarios current="0">
    <scenario name="Сцен1" count="8" user="Автор">
      <inputCells r="F21" val="13873.0998770416" numFmtId="1"/>
      <inputCells r="G21" val="88388.2784782817" numFmtId="1"/>
      <inputCells r="F22" val="16063.6843037534" numFmtId="1"/>
      <inputCells r="G22" val="43515.657501666" numFmtId="1"/>
      <inputCells r="F23" val="16990.641500461" numFmtId="1"/>
      <inputCells r="G23" val="726449.635" numFmtId="1"/>
      <inputCells r="F24" val="17186.3040652565" numFmtId="1"/>
      <inputCells r="G24" val="771054.299155861" numFmtId="1"/>
    </scenario>
  </scenarios>
  <conditionalFormatting sqref="A15">
    <cfRule type="cellIs" dxfId="1" priority="1" operator="equal">
      <formula>"Решение найдено"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autoPict="0" r:id="rId5">
            <anchor moveWithCells="1" sizeWithCells="1">
              <from>
                <xdr:col>1</xdr:col>
                <xdr:colOff>0</xdr:colOff>
                <xdr:row>13</xdr:row>
                <xdr:rowOff>9525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7AE9A-8070-49B7-8E0D-002B8CCD8687}">
  <sheetPr codeName="Лист2"/>
  <dimension ref="A1:H45"/>
  <sheetViews>
    <sheetView tabSelected="1" zoomScale="70" zoomScaleNormal="70" workbookViewId="0">
      <selection activeCell="E45" sqref="E45"/>
    </sheetView>
  </sheetViews>
  <sheetFormatPr defaultRowHeight="15" x14ac:dyDescent="0.25"/>
  <cols>
    <col min="1" max="1" width="74.85546875" bestFit="1" customWidth="1"/>
    <col min="2" max="2" width="13.42578125" bestFit="1" customWidth="1"/>
    <col min="3" max="3" width="19.85546875" bestFit="1" customWidth="1"/>
    <col min="4" max="4" width="24.140625" bestFit="1" customWidth="1"/>
    <col min="5" max="5" width="18.140625" bestFit="1" customWidth="1"/>
    <col min="6" max="6" width="24.140625" bestFit="1" customWidth="1"/>
    <col min="7" max="7" width="15.140625" bestFit="1" customWidth="1"/>
    <col min="8" max="8" width="15" customWidth="1"/>
  </cols>
  <sheetData>
    <row r="1" spans="1:6" x14ac:dyDescent="0.25">
      <c r="A1" s="5" t="s">
        <v>10</v>
      </c>
      <c r="B1" s="5"/>
      <c r="C1" s="5" t="s">
        <v>0</v>
      </c>
      <c r="D1" s="5" t="s">
        <v>1</v>
      </c>
    </row>
    <row r="2" spans="1:6" x14ac:dyDescent="0.25">
      <c r="A2" s="5"/>
      <c r="B2" s="5" t="s">
        <v>5</v>
      </c>
      <c r="C2" s="5"/>
      <c r="D2" s="5"/>
    </row>
    <row r="3" spans="1:6" x14ac:dyDescent="0.25">
      <c r="A3" s="4" t="s">
        <v>9</v>
      </c>
      <c r="B3" s="4" t="str">
        <f>Модель!B3</f>
        <v>ER</v>
      </c>
      <c r="C3" s="74">
        <v>72.14</v>
      </c>
      <c r="D3" s="12">
        <f>C3*1.2</f>
        <v>86.567999999999998</v>
      </c>
    </row>
    <row r="4" spans="1:6" x14ac:dyDescent="0.25">
      <c r="A4" s="5" t="s">
        <v>408</v>
      </c>
      <c r="B4" s="5" t="s">
        <v>134</v>
      </c>
      <c r="C4" s="53">
        <v>0.18</v>
      </c>
      <c r="D4" s="7"/>
    </row>
    <row r="5" spans="1:6" x14ac:dyDescent="0.25">
      <c r="A5" s="5" t="s">
        <v>410</v>
      </c>
      <c r="B5" s="5" t="s">
        <v>136</v>
      </c>
      <c r="C5" s="10">
        <v>1.29</v>
      </c>
      <c r="D5" s="11">
        <v>0</v>
      </c>
    </row>
    <row r="6" spans="1:6" x14ac:dyDescent="0.25">
      <c r="A6" s="4" t="s">
        <v>409</v>
      </c>
      <c r="B6" s="4" t="s">
        <v>138</v>
      </c>
      <c r="C6" s="10">
        <v>1.8906189062869162E-2</v>
      </c>
      <c r="D6" s="11">
        <v>0</v>
      </c>
    </row>
    <row r="7" spans="1:6" x14ac:dyDescent="0.25">
      <c r="A7" s="4" t="s">
        <v>167</v>
      </c>
      <c r="B7" s="4" t="s">
        <v>139</v>
      </c>
      <c r="C7" s="6">
        <f>Модель!C7</f>
        <v>0.91304347826086951</v>
      </c>
      <c r="D7" s="15">
        <f>(1-EXP(-P_MDI_1/Λ_1))</f>
        <v>0.91929809667619344</v>
      </c>
      <c r="E7" s="69"/>
      <c r="F7" s="68"/>
    </row>
    <row r="8" spans="1:6" x14ac:dyDescent="0.25">
      <c r="A8" s="4" t="s">
        <v>204</v>
      </c>
      <c r="B8" s="4" t="s">
        <v>156</v>
      </c>
      <c r="C8" s="9">
        <v>14.686756000000001</v>
      </c>
      <c r="D8" s="19">
        <f>SVA_0</f>
        <v>14.686756000000001</v>
      </c>
    </row>
    <row r="9" spans="1:6" x14ac:dyDescent="0.25">
      <c r="A9" s="4" t="s">
        <v>205</v>
      </c>
      <c r="B9" s="5" t="s">
        <v>187</v>
      </c>
      <c r="C9" s="10">
        <v>0.85550000000000004</v>
      </c>
      <c r="D9" s="6">
        <f>SH_0</f>
        <v>0.85550000000000004</v>
      </c>
    </row>
    <row r="10" spans="1:6" x14ac:dyDescent="0.25">
      <c r="A10" s="5" t="s">
        <v>229</v>
      </c>
      <c r="B10" s="5"/>
      <c r="C10" s="6">
        <f>Модель!C12</f>
        <v>0.70864839319470696</v>
      </c>
      <c r="D10" s="29">
        <f>K_1*OUT_1*SH_1</f>
        <v>0.71350284470287384</v>
      </c>
    </row>
    <row r="11" spans="1:6" x14ac:dyDescent="0.25">
      <c r="A11" s="89"/>
      <c r="B11" s="89"/>
      <c r="C11" s="90"/>
      <c r="D11" s="91"/>
    </row>
    <row r="12" spans="1:6" x14ac:dyDescent="0.25">
      <c r="A12" s="89"/>
      <c r="B12" s="89"/>
      <c r="C12" s="90"/>
      <c r="D12" s="91"/>
    </row>
    <row r="13" spans="1:6" x14ac:dyDescent="0.25">
      <c r="A13" s="89"/>
      <c r="B13" s="89"/>
      <c r="C13" s="90"/>
      <c r="D13" s="91"/>
    </row>
    <row r="27" spans="1:8" ht="15.75" thickBot="1" x14ac:dyDescent="0.3">
      <c r="A27" s="2"/>
      <c r="B27" s="2"/>
      <c r="C27" s="8"/>
      <c r="D27" s="8"/>
      <c r="F27" s="2"/>
    </row>
    <row r="28" spans="1:8" ht="15.75" thickBot="1" x14ac:dyDescent="0.3">
      <c r="A28" s="26" t="str">
        <f>IF(SUMSQ(Модель!$B$31:$B$50)&lt;0.000001,"Решение найдено","Решение не найдено")</f>
        <v>Решение найдено</v>
      </c>
      <c r="B28" s="2"/>
      <c r="C28" s="8"/>
      <c r="D28" s="8"/>
    </row>
    <row r="29" spans="1:8" x14ac:dyDescent="0.25">
      <c r="A29" s="25"/>
      <c r="B29" s="5"/>
      <c r="C29" s="5" t="s">
        <v>0</v>
      </c>
      <c r="D29" s="5"/>
      <c r="E29" s="5" t="s">
        <v>1</v>
      </c>
      <c r="F29" s="5"/>
      <c r="G29" s="14" t="s">
        <v>7</v>
      </c>
      <c r="H29" s="5"/>
    </row>
    <row r="30" spans="1:8" x14ac:dyDescent="0.25">
      <c r="A30" s="5" t="s">
        <v>4</v>
      </c>
      <c r="B30" s="5" t="s">
        <v>5</v>
      </c>
      <c r="C30" s="5" t="s">
        <v>163</v>
      </c>
      <c r="D30" s="5" t="s">
        <v>11</v>
      </c>
      <c r="E30" s="5" t="str">
        <f>Модель!F17</f>
        <v>Цена (P), руб за кг</v>
      </c>
      <c r="F30" s="5" t="str">
        <f>Модель!G17</f>
        <v>Количество (Q) тыс. тонн</v>
      </c>
      <c r="G30" s="5" t="str">
        <f>Модель!H17</f>
        <v>Цена (P)</v>
      </c>
      <c r="H30" s="5" t="str">
        <f>Модель!I17</f>
        <v>Количество (Q)</v>
      </c>
    </row>
    <row r="31" spans="1:8" x14ac:dyDescent="0.25">
      <c r="A31" s="5" t="s">
        <v>411</v>
      </c>
      <c r="B31" s="5" t="str">
        <f>Модель!B18</f>
        <v>MMI</v>
      </c>
      <c r="C31" s="20">
        <f>P_MMI_USD_0*ER_0*(1+TMMI_0)</f>
        <v>13.230700646219168</v>
      </c>
      <c r="D31" s="16">
        <v>42</v>
      </c>
      <c r="E31" s="20">
        <f>Модель!F18</f>
        <v>7.8092201705198532</v>
      </c>
      <c r="F31" s="20">
        <f>Модель!G18</f>
        <v>166.48760292427741</v>
      </c>
      <c r="G31" s="88">
        <f>Модель!H18</f>
        <v>-0.40976518331616607</v>
      </c>
      <c r="H31" s="88">
        <f>Модель!I18</f>
        <v>2.9639905458161286</v>
      </c>
    </row>
    <row r="32" spans="1:8" x14ac:dyDescent="0.25">
      <c r="A32" s="5" t="s">
        <v>412</v>
      </c>
      <c r="B32" s="5" t="str">
        <f>Модель!B19</f>
        <v>MDI</v>
      </c>
      <c r="C32" s="16">
        <v>15.138999999999999</v>
      </c>
      <c r="D32" s="16">
        <f>3876-54</f>
        <v>3822</v>
      </c>
      <c r="E32" s="20">
        <f>Модель!F19</f>
        <v>15.601697168256912</v>
      </c>
      <c r="F32" s="20">
        <f>Модель!G19</f>
        <v>3760.960005783304</v>
      </c>
      <c r="G32" s="88">
        <f>Модель!H19</f>
        <v>3.0563258356358647E-2</v>
      </c>
      <c r="H32" s="88">
        <f>Модель!I19</f>
        <v>-1.5970694457534296E-2</v>
      </c>
    </row>
    <row r="33" spans="1:8" x14ac:dyDescent="0.25">
      <c r="A33" s="5" t="s">
        <v>413</v>
      </c>
      <c r="B33" s="5" t="str">
        <f>Модель!B20</f>
        <v>MIC</v>
      </c>
      <c r="C33" s="20">
        <f>(P_MDI_0*Q_MDI_0+P_MMI_0*Q_MMI_0)/Q_MIC_0</f>
        <v>15.118257615719772</v>
      </c>
      <c r="D33" s="20">
        <f>Q_MDI_0+Q_MMI_0</f>
        <v>3864</v>
      </c>
      <c r="E33" s="20">
        <f>Модель!F20</f>
        <v>15.271367919915447</v>
      </c>
      <c r="F33" s="20">
        <f>Модель!G20</f>
        <v>3927.4476087075809</v>
      </c>
      <c r="G33" s="88">
        <f>Модель!H20</f>
        <v>1.0127509934509504E-2</v>
      </c>
      <c r="H33" s="88">
        <f>Модель!I20</f>
        <v>1.6420188588918361E-2</v>
      </c>
    </row>
    <row r="34" spans="1:8" x14ac:dyDescent="0.25">
      <c r="A34" s="5" t="s">
        <v>414</v>
      </c>
      <c r="B34" s="5" t="str">
        <f>Модель!B21</f>
        <v>SDP</v>
      </c>
      <c r="C34" s="20">
        <f>P_MIC_0/OUT_0+SVA_0</f>
        <v>31.3508768816003</v>
      </c>
      <c r="D34" s="16">
        <v>2999</v>
      </c>
      <c r="E34" s="20">
        <f>Модель!F21</f>
        <v>31.519642931378577</v>
      </c>
      <c r="F34" s="20">
        <f>Модель!G21</f>
        <v>3048.2441455781654</v>
      </c>
      <c r="G34" s="88">
        <f>Модель!H21</f>
        <v>5.383136504144348E-3</v>
      </c>
      <c r="H34" s="88">
        <f>Модель!I21</f>
        <v>1.6420188588918139E-2</v>
      </c>
    </row>
    <row r="35" spans="1:8" x14ac:dyDescent="0.25">
      <c r="A35" s="5" t="s">
        <v>415</v>
      </c>
      <c r="B35" s="5" t="str">
        <f>Модель!B22</f>
        <v>FDC</v>
      </c>
      <c r="C35" s="20">
        <f>(P_FDP_0*Q_FDP_0-P_FXP_0*Q_FXP_0)/Q_FDC_0</f>
        <v>33.550695825049701</v>
      </c>
      <c r="D35" s="16">
        <v>1006</v>
      </c>
      <c r="E35" s="20">
        <f>Модель!F22</f>
        <v>35.841159758298652</v>
      </c>
      <c r="F35" s="20">
        <f>Модель!G22</f>
        <v>892.04380089302992</v>
      </c>
      <c r="G35" s="88">
        <f>Модель!H22</f>
        <v>6.8268746055002438E-2</v>
      </c>
      <c r="H35" s="88">
        <f>Модель!I22</f>
        <v>-0.11327653986776354</v>
      </c>
    </row>
    <row r="36" spans="1:8" x14ac:dyDescent="0.25">
      <c r="A36" s="5" t="s">
        <v>416</v>
      </c>
      <c r="B36" s="5" t="str">
        <f>Модель!B23</f>
        <v>PDP</v>
      </c>
      <c r="C36" s="20">
        <f>(P_SDP_0*Q_SDP_0+P_FDC_0*Q_FDC_0)/Q_PDP_0</f>
        <v>31.903440641178353</v>
      </c>
      <c r="D36" s="20">
        <f>Q_SDP_0+Q_FDC_0</f>
        <v>4005</v>
      </c>
      <c r="E36" s="20">
        <f>Модель!F23</f>
        <v>32.497993333225651</v>
      </c>
      <c r="F36" s="20">
        <f>Модель!G23</f>
        <v>3940.2879464711959</v>
      </c>
      <c r="G36" s="88">
        <f>Модель!H23</f>
        <v>1.8636005399364386E-2</v>
      </c>
      <c r="H36" s="88">
        <f>Модель!I23</f>
        <v>-1.6157816112060908E-2</v>
      </c>
    </row>
    <row r="37" spans="1:8" x14ac:dyDescent="0.25">
      <c r="A37" s="5" t="s">
        <v>417</v>
      </c>
      <c r="B37" s="5" t="str">
        <f>Модель!B24</f>
        <v>PXM</v>
      </c>
      <c r="C37" s="20">
        <f>P_MDI_0</f>
        <v>15.138999999999999</v>
      </c>
      <c r="D37" s="20">
        <f>Q_PDC_0-Q_PDP_0</f>
        <v>181</v>
      </c>
      <c r="E37" s="20">
        <f>Модель!F24</f>
        <v>15.601697168256912</v>
      </c>
      <c r="F37" s="20">
        <f>Модель!G24</f>
        <v>150.83333333333329</v>
      </c>
      <c r="G37" s="88">
        <f>Модель!H24</f>
        <v>3.0563258356358647E-2</v>
      </c>
      <c r="H37" s="88">
        <f>Модель!I24</f>
        <v>-0.16666666666666696</v>
      </c>
    </row>
    <row r="38" spans="1:8" x14ac:dyDescent="0.25">
      <c r="A38" s="5" t="s">
        <v>418</v>
      </c>
      <c r="B38" s="5" t="str">
        <f>Модель!B25</f>
        <v>PDC</v>
      </c>
      <c r="C38" s="20">
        <f>P_MDI_0</f>
        <v>15.138999999999999</v>
      </c>
      <c r="D38" s="16">
        <f>4186</f>
        <v>4186</v>
      </c>
      <c r="E38" s="20">
        <f>Модель!F25</f>
        <v>15.601697168256912</v>
      </c>
      <c r="F38" s="20">
        <f>Модель!G25</f>
        <v>4091.1212798045276</v>
      </c>
      <c r="G38" s="88">
        <f>Модель!H25</f>
        <v>3.0563258356358647E-2</v>
      </c>
      <c r="H38" s="88">
        <f>Модель!I25</f>
        <v>-2.2665723888072753E-2</v>
      </c>
    </row>
    <row r="39" spans="1:8" x14ac:dyDescent="0.25">
      <c r="A39" s="5" t="s">
        <v>419</v>
      </c>
      <c r="B39" s="5" t="str">
        <f>Модель!B26</f>
        <v>FDP</v>
      </c>
      <c r="C39" s="16">
        <v>38</v>
      </c>
      <c r="D39" s="16">
        <v>2125</v>
      </c>
      <c r="E39" s="20">
        <f>Модель!F26</f>
        <v>44.03846291455995</v>
      </c>
      <c r="F39" s="20">
        <f>Модель!G26</f>
        <v>2221.1275608246965</v>
      </c>
      <c r="G39" s="88">
        <f>Модель!H26</f>
        <v>0.15890691880420915</v>
      </c>
      <c r="H39" s="88">
        <f>Модель!I26</f>
        <v>4.5236499211621872E-2</v>
      </c>
    </row>
    <row r="40" spans="1:8" x14ac:dyDescent="0.25">
      <c r="A40" s="5" t="s">
        <v>420</v>
      </c>
      <c r="B40" s="5" t="str">
        <f>Модель!B27</f>
        <v>FXP</v>
      </c>
      <c r="C40" s="16">
        <v>42</v>
      </c>
      <c r="D40" s="20">
        <f>Q_FDP_0-Q_FDC_0</f>
        <v>1119</v>
      </c>
      <c r="E40" s="20">
        <f>Модель!F27</f>
        <v>49.540263241232324</v>
      </c>
      <c r="F40" s="20">
        <f>Модель!G27</f>
        <v>1329.0837599316676</v>
      </c>
      <c r="G40" s="88">
        <f>Модель!H27</f>
        <v>0.17953007717219815</v>
      </c>
      <c r="H40" s="88">
        <f>Модель!I27</f>
        <v>0.18774241280756709</v>
      </c>
    </row>
    <row r="43" spans="1:8" x14ac:dyDescent="0.25">
      <c r="A43" s="66"/>
      <c r="B43" t="s">
        <v>421</v>
      </c>
    </row>
    <row r="44" spans="1:8" x14ac:dyDescent="0.25">
      <c r="A44" s="67"/>
      <c r="B44" s="65" t="s">
        <v>423</v>
      </c>
    </row>
    <row r="45" spans="1:8" x14ac:dyDescent="0.25">
      <c r="B45" s="65" t="s">
        <v>422</v>
      </c>
    </row>
  </sheetData>
  <conditionalFormatting sqref="A28">
    <cfRule type="cellIs" dxfId="0" priority="1" operator="equal">
      <formula>"Решение найдено"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1">
          <controlPr defaultSize="0" print="0" autoLine="0" autoPict="0" r:id="rId4">
            <anchor moveWithCells="1" sizeWithCells="1">
              <from>
                <xdr:col>1</xdr:col>
                <xdr:colOff>9525</xdr:colOff>
                <xdr:row>26</xdr:row>
                <xdr:rowOff>38100</xdr:rowOff>
              </from>
              <to>
                <xdr:col>4</xdr:col>
                <xdr:colOff>352425</xdr:colOff>
                <xdr:row>28</xdr:row>
                <xdr:rowOff>0</xdr:rowOff>
              </to>
            </anchor>
          </controlPr>
        </control>
      </mc:Choice>
      <mc:Fallback>
        <control shapeId="5122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B1:D11"/>
  <sheetViews>
    <sheetView workbookViewId="0">
      <selection activeCell="C24" sqref="C24"/>
    </sheetView>
  </sheetViews>
  <sheetFormatPr defaultRowHeight="15" x14ac:dyDescent="0.25"/>
  <cols>
    <col min="2" max="2" width="30.5703125" bestFit="1" customWidth="1"/>
    <col min="3" max="3" width="46.5703125" bestFit="1" customWidth="1"/>
    <col min="4" max="4" width="217.5703125" bestFit="1" customWidth="1"/>
  </cols>
  <sheetData>
    <row r="1" spans="2:4" x14ac:dyDescent="0.25">
      <c r="B1" s="5" t="s">
        <v>325</v>
      </c>
      <c r="C1" s="5" t="s">
        <v>324</v>
      </c>
      <c r="D1" s="5" t="s">
        <v>336</v>
      </c>
    </row>
    <row r="2" spans="2:4" x14ac:dyDescent="0.25">
      <c r="B2" s="5" t="s">
        <v>315</v>
      </c>
      <c r="C2" s="5">
        <v>-0.08</v>
      </c>
      <c r="D2" s="5" t="s">
        <v>327</v>
      </c>
    </row>
    <row r="3" spans="2:4" x14ac:dyDescent="0.25">
      <c r="B3" s="5" t="s">
        <v>316</v>
      </c>
      <c r="C3" s="5">
        <v>-0.95</v>
      </c>
      <c r="D3" s="5" t="s">
        <v>328</v>
      </c>
    </row>
    <row r="4" spans="2:4" x14ac:dyDescent="0.25">
      <c r="B4" s="5" t="s">
        <v>317</v>
      </c>
      <c r="C4" s="5">
        <v>-0.08</v>
      </c>
      <c r="D4" s="5" t="s">
        <v>329</v>
      </c>
    </row>
    <row r="5" spans="2:4" x14ac:dyDescent="0.25">
      <c r="B5" s="5" t="s">
        <v>318</v>
      </c>
      <c r="C5" s="5">
        <v>-1.22</v>
      </c>
      <c r="D5" s="5" t="s">
        <v>330</v>
      </c>
    </row>
    <row r="6" spans="2:4" x14ac:dyDescent="0.25">
      <c r="B6" s="5" t="s">
        <v>319</v>
      </c>
      <c r="C6" s="5">
        <v>-0.08</v>
      </c>
      <c r="D6" s="5" t="s">
        <v>331</v>
      </c>
    </row>
    <row r="7" spans="2:4" x14ac:dyDescent="0.25">
      <c r="B7" s="5" t="s">
        <v>320</v>
      </c>
      <c r="C7" s="5">
        <v>-2.2000000000000002</v>
      </c>
      <c r="D7" s="5" t="s">
        <v>332</v>
      </c>
    </row>
    <row r="8" spans="2:4" x14ac:dyDescent="0.25">
      <c r="B8" s="5" t="s">
        <v>321</v>
      </c>
      <c r="C8" s="5">
        <v>-0.48</v>
      </c>
      <c r="D8" s="5" t="s">
        <v>333</v>
      </c>
    </row>
    <row r="9" spans="2:4" x14ac:dyDescent="0.25">
      <c r="B9" s="5" t="s">
        <v>322</v>
      </c>
      <c r="C9" s="5">
        <v>-1.25</v>
      </c>
      <c r="D9" s="5" t="s">
        <v>334</v>
      </c>
    </row>
    <row r="10" spans="2:4" x14ac:dyDescent="0.25">
      <c r="B10" s="5" t="s">
        <v>323</v>
      </c>
      <c r="C10" s="5">
        <v>-1.6</v>
      </c>
      <c r="D10" s="5" t="s">
        <v>335</v>
      </c>
    </row>
    <row r="11" spans="2:4" x14ac:dyDescent="0.25">
      <c r="B11" s="54" t="s">
        <v>326</v>
      </c>
      <c r="C11" s="55">
        <f>AVERAGE(C2:C10)</f>
        <v>-0.88222222222222213</v>
      </c>
      <c r="D11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K7"/>
  <sheetViews>
    <sheetView topLeftCell="B1" workbookViewId="0">
      <selection activeCell="C24" sqref="C24"/>
    </sheetView>
  </sheetViews>
  <sheetFormatPr defaultRowHeight="15" x14ac:dyDescent="0.25"/>
  <cols>
    <col min="2" max="2" width="84.42578125" bestFit="1" customWidth="1"/>
  </cols>
  <sheetData>
    <row r="1" spans="1:11" x14ac:dyDescent="0.25">
      <c r="A1" t="s">
        <v>232</v>
      </c>
      <c r="B1" t="s">
        <v>233</v>
      </c>
      <c r="C1" t="s">
        <v>234</v>
      </c>
      <c r="D1" t="s">
        <v>235</v>
      </c>
      <c r="E1" t="s">
        <v>236</v>
      </c>
      <c r="F1" t="s">
        <v>237</v>
      </c>
      <c r="G1" t="s">
        <v>238</v>
      </c>
      <c r="H1" t="s">
        <v>239</v>
      </c>
      <c r="I1" t="s">
        <v>240</v>
      </c>
      <c r="J1" t="s">
        <v>241</v>
      </c>
      <c r="K1" t="s">
        <v>242</v>
      </c>
    </row>
    <row r="2" spans="1:11" x14ac:dyDescent="0.25">
      <c r="A2" t="s">
        <v>243</v>
      </c>
      <c r="B2" t="s">
        <v>244</v>
      </c>
      <c r="C2" t="s">
        <v>245</v>
      </c>
      <c r="D2" t="s">
        <v>246</v>
      </c>
      <c r="E2" t="s">
        <v>247</v>
      </c>
      <c r="F2" t="s">
        <v>248</v>
      </c>
      <c r="G2" t="s">
        <v>249</v>
      </c>
      <c r="H2">
        <v>24.5</v>
      </c>
      <c r="I2">
        <v>39.9</v>
      </c>
      <c r="J2">
        <v>22.7</v>
      </c>
      <c r="K2">
        <v>15.8</v>
      </c>
    </row>
    <row r="3" spans="1:11" x14ac:dyDescent="0.25">
      <c r="A3" t="s">
        <v>243</v>
      </c>
      <c r="B3" t="s">
        <v>250</v>
      </c>
      <c r="C3" t="s">
        <v>245</v>
      </c>
      <c r="D3" t="s">
        <v>246</v>
      </c>
      <c r="E3" t="s">
        <v>247</v>
      </c>
      <c r="F3" t="s">
        <v>248</v>
      </c>
      <c r="G3" t="s">
        <v>249</v>
      </c>
      <c r="H3">
        <v>19.8</v>
      </c>
      <c r="I3">
        <v>29.5</v>
      </c>
      <c r="J3">
        <v>19.399999999999999</v>
      </c>
      <c r="K3">
        <v>13.8</v>
      </c>
    </row>
    <row r="4" spans="1:11" x14ac:dyDescent="0.25">
      <c r="A4" t="s">
        <v>243</v>
      </c>
      <c r="B4" t="s">
        <v>251</v>
      </c>
      <c r="C4" t="s">
        <v>245</v>
      </c>
      <c r="D4" t="s">
        <v>246</v>
      </c>
      <c r="E4" t="s">
        <v>247</v>
      </c>
      <c r="F4" t="s">
        <v>248</v>
      </c>
      <c r="G4" t="s">
        <v>249</v>
      </c>
      <c r="H4">
        <v>24.8</v>
      </c>
      <c r="I4">
        <v>34.5</v>
      </c>
      <c r="J4">
        <v>22.1</v>
      </c>
      <c r="K4">
        <v>15.1</v>
      </c>
    </row>
    <row r="5" spans="1:11" x14ac:dyDescent="0.25">
      <c r="A5" t="s">
        <v>243</v>
      </c>
      <c r="B5" t="s">
        <v>252</v>
      </c>
      <c r="C5" t="s">
        <v>245</v>
      </c>
      <c r="D5" t="s">
        <v>246</v>
      </c>
      <c r="E5" t="s">
        <v>247</v>
      </c>
      <c r="F5" t="s">
        <v>248</v>
      </c>
      <c r="G5" t="s">
        <v>249</v>
      </c>
      <c r="H5">
        <v>8.9</v>
      </c>
      <c r="I5">
        <v>9.8000000000000007</v>
      </c>
      <c r="J5">
        <v>10.9</v>
      </c>
      <c r="K5">
        <v>11.8</v>
      </c>
    </row>
    <row r="6" spans="1:11" x14ac:dyDescent="0.25">
      <c r="A6" t="s">
        <v>243</v>
      </c>
      <c r="B6" t="s">
        <v>253</v>
      </c>
      <c r="C6" t="s">
        <v>245</v>
      </c>
      <c r="D6" t="s">
        <v>246</v>
      </c>
      <c r="E6" t="s">
        <v>247</v>
      </c>
      <c r="F6" t="s">
        <v>248</v>
      </c>
      <c r="G6" t="s">
        <v>249</v>
      </c>
      <c r="H6">
        <v>7.9</v>
      </c>
      <c r="I6">
        <v>9.1</v>
      </c>
      <c r="J6">
        <v>10.3</v>
      </c>
      <c r="K6">
        <v>9.8000000000000007</v>
      </c>
    </row>
    <row r="7" spans="1:11" x14ac:dyDescent="0.25">
      <c r="A7" t="s">
        <v>243</v>
      </c>
      <c r="B7" t="s">
        <v>254</v>
      </c>
      <c r="C7" t="s">
        <v>245</v>
      </c>
      <c r="D7" t="s">
        <v>246</v>
      </c>
      <c r="E7" t="s">
        <v>247</v>
      </c>
      <c r="F7" t="s">
        <v>248</v>
      </c>
      <c r="G7" t="s">
        <v>249</v>
      </c>
      <c r="H7">
        <v>10.4</v>
      </c>
      <c r="I7">
        <v>13</v>
      </c>
      <c r="J7">
        <v>11.2</v>
      </c>
      <c r="K7">
        <v>14.5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D14"/>
  <sheetViews>
    <sheetView workbookViewId="0">
      <selection activeCell="C24" sqref="C24"/>
    </sheetView>
  </sheetViews>
  <sheetFormatPr defaultColWidth="18.42578125" defaultRowHeight="21" customHeight="1" x14ac:dyDescent="0.25"/>
  <cols>
    <col min="1" max="1" width="28.5703125" bestFit="1" customWidth="1"/>
    <col min="2" max="2" width="12" bestFit="1" customWidth="1"/>
  </cols>
  <sheetData>
    <row r="1" spans="1:4" ht="15" x14ac:dyDescent="0.25">
      <c r="A1" s="5" t="s">
        <v>211</v>
      </c>
      <c r="B1" s="5" t="s">
        <v>212</v>
      </c>
    </row>
    <row r="2" spans="1:4" ht="15" x14ac:dyDescent="0.25">
      <c r="A2" s="5" t="s">
        <v>213</v>
      </c>
      <c r="B2" s="19">
        <v>23438</v>
      </c>
      <c r="D2" t="s">
        <v>395</v>
      </c>
    </row>
    <row r="3" spans="1:4" ht="15" x14ac:dyDescent="0.25">
      <c r="A3" s="5" t="s">
        <v>214</v>
      </c>
      <c r="B3" s="19">
        <v>2673</v>
      </c>
      <c r="D3" t="s">
        <v>396</v>
      </c>
    </row>
    <row r="4" spans="1:4" ht="15" x14ac:dyDescent="0.25">
      <c r="A4" s="5" t="s">
        <v>215</v>
      </c>
      <c r="B4" s="19">
        <v>1975</v>
      </c>
      <c r="D4" t="s">
        <v>397</v>
      </c>
    </row>
    <row r="5" spans="1:4" ht="15" x14ac:dyDescent="0.25">
      <c r="A5" s="5" t="s">
        <v>216</v>
      </c>
      <c r="B5" s="19">
        <v>1245</v>
      </c>
      <c r="D5" t="s">
        <v>398</v>
      </c>
    </row>
    <row r="6" spans="1:4" ht="15" x14ac:dyDescent="0.25">
      <c r="A6" s="5" t="s">
        <v>217</v>
      </c>
      <c r="B6" s="19">
        <v>82</v>
      </c>
      <c r="D6" t="s">
        <v>399</v>
      </c>
    </row>
    <row r="7" spans="1:4" ht="15" x14ac:dyDescent="0.25">
      <c r="A7" s="5" t="s">
        <v>218</v>
      </c>
      <c r="B7" s="19">
        <v>544</v>
      </c>
      <c r="D7" t="s">
        <v>400</v>
      </c>
    </row>
    <row r="8" spans="1:4" ht="15" x14ac:dyDescent="0.25">
      <c r="A8" s="5" t="s">
        <v>219</v>
      </c>
      <c r="B8" s="19">
        <v>216</v>
      </c>
      <c r="D8" t="s">
        <v>401</v>
      </c>
    </row>
    <row r="9" spans="1:4" ht="15" x14ac:dyDescent="0.25">
      <c r="A9" s="5" t="s">
        <v>220</v>
      </c>
      <c r="B9" s="19">
        <v>357</v>
      </c>
      <c r="D9" t="s">
        <v>402</v>
      </c>
    </row>
    <row r="10" spans="1:4" ht="15" x14ac:dyDescent="0.25">
      <c r="A10" s="5" t="s">
        <v>221</v>
      </c>
      <c r="B10" s="19">
        <v>30529</v>
      </c>
      <c r="D10" t="s">
        <v>403</v>
      </c>
    </row>
    <row r="11" spans="1:4" ht="15" x14ac:dyDescent="0.25">
      <c r="A11" s="5" t="s">
        <v>222</v>
      </c>
      <c r="B11" s="19">
        <v>4193</v>
      </c>
      <c r="D11" t="s">
        <v>404</v>
      </c>
    </row>
    <row r="12" spans="1:4" ht="15" x14ac:dyDescent="0.25">
      <c r="A12" s="5" t="s">
        <v>223</v>
      </c>
      <c r="B12" s="19">
        <v>34722</v>
      </c>
      <c r="D12" t="s">
        <v>405</v>
      </c>
    </row>
    <row r="13" spans="1:4" ht="15" x14ac:dyDescent="0.25">
      <c r="A13" s="5" t="s">
        <v>228</v>
      </c>
      <c r="B13" s="19">
        <f>B12*profit</f>
        <v>3402.7560000000003</v>
      </c>
    </row>
    <row r="14" spans="1:4" ht="15" x14ac:dyDescent="0.25">
      <c r="A14" s="5" t="s">
        <v>310</v>
      </c>
      <c r="B14" s="48">
        <f>(B12+B13-B2)</f>
        <v>14686.756000000001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E58"/>
  <sheetViews>
    <sheetView topLeftCell="A49" zoomScale="85" zoomScaleNormal="85" workbookViewId="0">
      <selection activeCell="C24" sqref="C24"/>
    </sheetView>
  </sheetViews>
  <sheetFormatPr defaultRowHeight="15" x14ac:dyDescent="0.25"/>
  <cols>
    <col min="1" max="1" width="8.42578125" bestFit="1" customWidth="1"/>
    <col min="2" max="2" width="9.5703125" bestFit="1" customWidth="1"/>
    <col min="3" max="3" width="63.85546875" bestFit="1" customWidth="1"/>
    <col min="4" max="4" width="69.85546875" bestFit="1" customWidth="1"/>
    <col min="5" max="5" width="56.85546875" bestFit="1" customWidth="1"/>
  </cols>
  <sheetData>
    <row r="1" spans="1:5" x14ac:dyDescent="0.25">
      <c r="A1" s="5" t="s">
        <v>12</v>
      </c>
      <c r="B1" s="5" t="s">
        <v>13</v>
      </c>
      <c r="C1" s="5" t="s">
        <v>14</v>
      </c>
      <c r="D1" s="5" t="s">
        <v>15</v>
      </c>
      <c r="E1" s="5" t="s">
        <v>16</v>
      </c>
    </row>
    <row r="2" spans="1:5" x14ac:dyDescent="0.25">
      <c r="A2" s="5">
        <v>1</v>
      </c>
      <c r="B2" s="5" t="s">
        <v>17</v>
      </c>
      <c r="C2" s="5" t="s">
        <v>18</v>
      </c>
      <c r="D2" s="5">
        <v>5.05</v>
      </c>
      <c r="E2" s="5">
        <v>10.1</v>
      </c>
    </row>
    <row r="3" spans="1:5" x14ac:dyDescent="0.25">
      <c r="A3" s="5">
        <v>2</v>
      </c>
      <c r="B3" s="5" t="s">
        <v>19</v>
      </c>
      <c r="C3" s="5" t="s">
        <v>20</v>
      </c>
      <c r="D3" s="5">
        <v>4.45</v>
      </c>
      <c r="E3" s="5">
        <v>8.9</v>
      </c>
    </row>
    <row r="4" spans="1:5" x14ac:dyDescent="0.25">
      <c r="A4" s="5">
        <v>3</v>
      </c>
      <c r="B4" s="5" t="s">
        <v>21</v>
      </c>
      <c r="C4" s="5" t="s">
        <v>22</v>
      </c>
      <c r="D4" s="5">
        <v>1.3</v>
      </c>
      <c r="E4" s="5">
        <v>2.6</v>
      </c>
    </row>
    <row r="5" spans="1:5" x14ac:dyDescent="0.25">
      <c r="A5" s="5">
        <v>4</v>
      </c>
      <c r="B5" s="5" t="s">
        <v>23</v>
      </c>
      <c r="C5" s="5" t="s">
        <v>24</v>
      </c>
      <c r="D5" s="5">
        <v>1.85</v>
      </c>
      <c r="E5" s="5">
        <v>3.7</v>
      </c>
    </row>
    <row r="6" spans="1:5" x14ac:dyDescent="0.25">
      <c r="A6" s="5">
        <v>5</v>
      </c>
      <c r="B6" s="5" t="s">
        <v>25</v>
      </c>
      <c r="C6" s="5" t="s">
        <v>26</v>
      </c>
      <c r="D6" s="5">
        <v>2.4500000000000002</v>
      </c>
      <c r="E6" s="5">
        <v>4.9000000000000004</v>
      </c>
    </row>
    <row r="7" spans="1:5" x14ac:dyDescent="0.25">
      <c r="A7" s="5">
        <v>6</v>
      </c>
      <c r="B7" s="5" t="s">
        <v>27</v>
      </c>
      <c r="C7" s="5" t="s">
        <v>28</v>
      </c>
      <c r="D7" s="5">
        <v>2.7</v>
      </c>
      <c r="E7" s="5">
        <v>5.4</v>
      </c>
    </row>
    <row r="8" spans="1:5" x14ac:dyDescent="0.25">
      <c r="A8" s="5">
        <v>7</v>
      </c>
      <c r="B8" s="5" t="s">
        <v>29</v>
      </c>
      <c r="C8" s="5" t="s">
        <v>30</v>
      </c>
      <c r="D8" s="5">
        <v>2.5</v>
      </c>
      <c r="E8" s="5">
        <v>5</v>
      </c>
    </row>
    <row r="9" spans="1:5" x14ac:dyDescent="0.25">
      <c r="A9" s="5">
        <v>8</v>
      </c>
      <c r="B9" s="5" t="s">
        <v>31</v>
      </c>
      <c r="C9" s="5" t="s">
        <v>32</v>
      </c>
      <c r="D9" s="5">
        <v>3.25</v>
      </c>
      <c r="E9" s="5">
        <v>6.5</v>
      </c>
    </row>
    <row r="10" spans="1:5" x14ac:dyDescent="0.25">
      <c r="A10" s="5">
        <v>9</v>
      </c>
      <c r="B10" s="5" t="s">
        <v>33</v>
      </c>
      <c r="C10" s="5" t="s">
        <v>34</v>
      </c>
      <c r="D10" s="5">
        <v>2</v>
      </c>
      <c r="E10" s="5">
        <v>4</v>
      </c>
    </row>
    <row r="11" spans="1:5" x14ac:dyDescent="0.25">
      <c r="A11" s="5">
        <v>10</v>
      </c>
      <c r="B11" s="5" t="s">
        <v>35</v>
      </c>
      <c r="C11" s="5" t="s">
        <v>36</v>
      </c>
      <c r="D11" s="5">
        <v>1.3</v>
      </c>
      <c r="E11" s="5">
        <v>2.6</v>
      </c>
    </row>
    <row r="12" spans="1:5" x14ac:dyDescent="0.25">
      <c r="A12" s="5">
        <v>11</v>
      </c>
      <c r="B12" s="5" t="s">
        <v>37</v>
      </c>
      <c r="C12" s="5" t="s">
        <v>38</v>
      </c>
      <c r="D12" s="5">
        <v>3.65</v>
      </c>
      <c r="E12" s="5">
        <v>7.3</v>
      </c>
    </row>
    <row r="13" spans="1:5" x14ac:dyDescent="0.25">
      <c r="A13" s="5">
        <v>12</v>
      </c>
      <c r="B13" s="5" t="s">
        <v>39</v>
      </c>
      <c r="C13" s="5" t="s">
        <v>40</v>
      </c>
      <c r="D13" s="5">
        <v>6.45</v>
      </c>
      <c r="E13" s="5">
        <v>12.9</v>
      </c>
    </row>
    <row r="14" spans="1:5" x14ac:dyDescent="0.25">
      <c r="A14" s="5">
        <v>13</v>
      </c>
      <c r="B14" s="5" t="s">
        <v>41</v>
      </c>
      <c r="C14" s="5" t="s">
        <v>42</v>
      </c>
      <c r="D14" s="5">
        <v>2.5</v>
      </c>
      <c r="E14" s="5">
        <v>5</v>
      </c>
    </row>
    <row r="15" spans="1:5" x14ac:dyDescent="0.25">
      <c r="A15" s="5">
        <v>14</v>
      </c>
      <c r="B15" s="5" t="s">
        <v>43</v>
      </c>
      <c r="C15" s="5" t="s">
        <v>44</v>
      </c>
      <c r="D15" s="5">
        <v>1.25</v>
      </c>
      <c r="E15" s="5">
        <v>2.5</v>
      </c>
    </row>
    <row r="16" spans="1:5" x14ac:dyDescent="0.25">
      <c r="A16" s="5">
        <v>15</v>
      </c>
      <c r="B16" s="5" t="s">
        <v>45</v>
      </c>
      <c r="C16" s="5" t="s">
        <v>46</v>
      </c>
      <c r="D16" s="5">
        <v>3.05</v>
      </c>
      <c r="E16" s="5">
        <v>6.1</v>
      </c>
    </row>
    <row r="17" spans="1:5" x14ac:dyDescent="0.25">
      <c r="A17" s="5">
        <v>16</v>
      </c>
      <c r="B17" s="5" t="s">
        <v>47</v>
      </c>
      <c r="C17" s="5" t="s">
        <v>48</v>
      </c>
      <c r="D17" s="5">
        <v>5.2</v>
      </c>
      <c r="E17" s="5">
        <v>10.4</v>
      </c>
    </row>
    <row r="18" spans="1:5" x14ac:dyDescent="0.25">
      <c r="A18" s="5">
        <v>17</v>
      </c>
      <c r="B18" s="5" t="s">
        <v>49</v>
      </c>
      <c r="C18" s="5" t="s">
        <v>50</v>
      </c>
      <c r="D18" s="5">
        <v>17.2</v>
      </c>
      <c r="E18" s="5">
        <v>34.4</v>
      </c>
    </row>
    <row r="19" spans="1:5" x14ac:dyDescent="0.25">
      <c r="A19" s="5">
        <v>18</v>
      </c>
      <c r="B19" s="5" t="s">
        <v>51</v>
      </c>
      <c r="C19" s="5" t="s">
        <v>52</v>
      </c>
      <c r="D19" s="5">
        <v>0.9</v>
      </c>
      <c r="E19" s="5">
        <v>1.8</v>
      </c>
    </row>
    <row r="20" spans="1:5" x14ac:dyDescent="0.25">
      <c r="A20" s="5">
        <v>19</v>
      </c>
      <c r="B20" s="5" t="s">
        <v>53</v>
      </c>
      <c r="C20" s="5" t="s">
        <v>54</v>
      </c>
      <c r="D20" s="5">
        <v>3.85</v>
      </c>
      <c r="E20" s="5">
        <v>7.7</v>
      </c>
    </row>
    <row r="21" spans="1:5" x14ac:dyDescent="0.25">
      <c r="A21" s="5">
        <v>20</v>
      </c>
      <c r="B21" s="5" t="s">
        <v>55</v>
      </c>
      <c r="C21" s="5" t="s">
        <v>56</v>
      </c>
      <c r="D21" s="5">
        <v>4.4000000000000004</v>
      </c>
      <c r="E21" s="5">
        <v>8.8000000000000007</v>
      </c>
    </row>
    <row r="22" spans="1:5" x14ac:dyDescent="0.25">
      <c r="A22" s="5">
        <v>21</v>
      </c>
      <c r="B22" s="5" t="s">
        <v>57</v>
      </c>
      <c r="C22" s="5" t="s">
        <v>58</v>
      </c>
      <c r="D22" s="5">
        <v>3.3</v>
      </c>
      <c r="E22" s="5">
        <v>6.6</v>
      </c>
    </row>
    <row r="23" spans="1:5" x14ac:dyDescent="0.25">
      <c r="A23" s="5">
        <v>22</v>
      </c>
      <c r="B23" s="5" t="s">
        <v>59</v>
      </c>
      <c r="C23" s="5" t="s">
        <v>60</v>
      </c>
      <c r="D23" s="5">
        <v>3.65</v>
      </c>
      <c r="E23" s="5">
        <v>7.3</v>
      </c>
    </row>
    <row r="24" spans="1:5" x14ac:dyDescent="0.25">
      <c r="A24" s="5">
        <v>23</v>
      </c>
      <c r="B24" s="5" t="s">
        <v>61</v>
      </c>
      <c r="C24" s="5" t="s">
        <v>62</v>
      </c>
      <c r="D24" s="5">
        <v>2.6</v>
      </c>
      <c r="E24" s="5">
        <v>5.2</v>
      </c>
    </row>
    <row r="25" spans="1:5" x14ac:dyDescent="0.25">
      <c r="A25" s="5">
        <v>24</v>
      </c>
      <c r="B25" s="5" t="s">
        <v>63</v>
      </c>
      <c r="C25" s="5" t="s">
        <v>64</v>
      </c>
      <c r="D25" s="5">
        <v>2.7</v>
      </c>
      <c r="E25" s="5">
        <v>5.4</v>
      </c>
    </row>
    <row r="26" spans="1:5" x14ac:dyDescent="0.25">
      <c r="A26" s="5">
        <v>25</v>
      </c>
      <c r="B26" s="5" t="s">
        <v>65</v>
      </c>
      <c r="C26" s="5" t="s">
        <v>66</v>
      </c>
      <c r="D26" s="5">
        <v>2</v>
      </c>
      <c r="E26" s="5">
        <v>4</v>
      </c>
    </row>
    <row r="27" spans="1:5" x14ac:dyDescent="0.25">
      <c r="A27" s="5">
        <v>26</v>
      </c>
      <c r="B27" s="5" t="s">
        <v>67</v>
      </c>
      <c r="C27" s="5" t="s">
        <v>68</v>
      </c>
      <c r="D27" s="5">
        <v>1.1499999999999999</v>
      </c>
      <c r="E27" s="5">
        <v>2.2999999999999998</v>
      </c>
    </row>
    <row r="28" spans="1:5" x14ac:dyDescent="0.25">
      <c r="A28" s="5">
        <v>27</v>
      </c>
      <c r="B28" s="5" t="s">
        <v>69</v>
      </c>
      <c r="C28" s="5" t="s">
        <v>70</v>
      </c>
      <c r="D28" s="5">
        <v>3.75</v>
      </c>
      <c r="E28" s="5">
        <v>7.5</v>
      </c>
    </row>
    <row r="29" spans="1:5" x14ac:dyDescent="0.25">
      <c r="A29" s="5">
        <v>28</v>
      </c>
      <c r="B29" s="5" t="s">
        <v>71</v>
      </c>
      <c r="C29" s="5" t="s">
        <v>72</v>
      </c>
      <c r="D29" s="5">
        <v>3.7</v>
      </c>
      <c r="E29" s="5">
        <v>7.4</v>
      </c>
    </row>
    <row r="30" spans="1:5" x14ac:dyDescent="0.25">
      <c r="A30" s="5">
        <v>29</v>
      </c>
      <c r="B30" s="5" t="s">
        <v>73</v>
      </c>
      <c r="C30" s="5" t="s">
        <v>74</v>
      </c>
      <c r="D30" s="5">
        <v>4.05</v>
      </c>
      <c r="E30" s="5">
        <v>8.1</v>
      </c>
    </row>
    <row r="31" spans="1:5" x14ac:dyDescent="0.25">
      <c r="A31" s="5">
        <v>30</v>
      </c>
      <c r="B31" s="5" t="s">
        <v>75</v>
      </c>
      <c r="C31" s="5" t="s">
        <v>76</v>
      </c>
      <c r="D31" s="5">
        <v>3.4</v>
      </c>
      <c r="E31" s="5">
        <v>6.8</v>
      </c>
    </row>
    <row r="32" spans="1:5" x14ac:dyDescent="0.25">
      <c r="A32" s="5">
        <v>31</v>
      </c>
      <c r="B32" s="5" t="s">
        <v>77</v>
      </c>
      <c r="C32" s="5" t="s">
        <v>78</v>
      </c>
      <c r="D32" s="5">
        <v>2.95</v>
      </c>
      <c r="E32" s="5">
        <v>5.9</v>
      </c>
    </row>
    <row r="33" spans="1:5" x14ac:dyDescent="0.25">
      <c r="A33" s="5">
        <v>32</v>
      </c>
      <c r="B33" s="5" t="s">
        <v>79</v>
      </c>
      <c r="C33" s="5" t="s">
        <v>80</v>
      </c>
      <c r="D33" s="5">
        <v>2.1</v>
      </c>
      <c r="E33" s="5">
        <v>4.2</v>
      </c>
    </row>
    <row r="34" spans="1:5" x14ac:dyDescent="0.25">
      <c r="A34" s="5">
        <v>33</v>
      </c>
      <c r="B34" s="5" t="s">
        <v>81</v>
      </c>
      <c r="C34" s="5" t="s">
        <v>82</v>
      </c>
      <c r="D34" s="5">
        <v>3.3</v>
      </c>
      <c r="E34" s="5">
        <v>6.6</v>
      </c>
    </row>
    <row r="35" spans="1:5" x14ac:dyDescent="0.25">
      <c r="A35" s="5">
        <v>34</v>
      </c>
      <c r="B35" s="5" t="s">
        <v>83</v>
      </c>
      <c r="C35" s="5" t="s">
        <v>84</v>
      </c>
      <c r="D35" s="5">
        <v>2.9</v>
      </c>
      <c r="E35" s="5">
        <v>5.8</v>
      </c>
    </row>
    <row r="36" spans="1:5" x14ac:dyDescent="0.25">
      <c r="A36" s="5">
        <v>35</v>
      </c>
      <c r="B36" s="5" t="s">
        <v>85</v>
      </c>
      <c r="C36" s="5" t="s">
        <v>86</v>
      </c>
      <c r="D36" s="5">
        <v>2.95</v>
      </c>
      <c r="E36" s="5">
        <v>5.9</v>
      </c>
    </row>
    <row r="37" spans="1:5" x14ac:dyDescent="0.25">
      <c r="A37" s="5">
        <v>36</v>
      </c>
      <c r="B37" s="5" t="s">
        <v>87</v>
      </c>
      <c r="C37" s="5" t="s">
        <v>88</v>
      </c>
      <c r="D37" s="5">
        <v>4.2</v>
      </c>
      <c r="E37" s="5">
        <v>8.4</v>
      </c>
    </row>
    <row r="38" spans="1:5" x14ac:dyDescent="0.25">
      <c r="A38" s="5">
        <v>37</v>
      </c>
      <c r="B38" s="5" t="s">
        <v>89</v>
      </c>
      <c r="C38" s="5" t="s">
        <v>90</v>
      </c>
      <c r="D38" s="5">
        <v>3.75</v>
      </c>
      <c r="E38" s="5">
        <v>7.5</v>
      </c>
    </row>
    <row r="39" spans="1:5" x14ac:dyDescent="0.25">
      <c r="A39" s="5">
        <v>38</v>
      </c>
      <c r="B39" s="5" t="s">
        <v>91</v>
      </c>
      <c r="C39" s="5" t="s">
        <v>92</v>
      </c>
      <c r="D39" s="5">
        <v>2.8</v>
      </c>
      <c r="E39" s="5">
        <v>5.6</v>
      </c>
    </row>
    <row r="40" spans="1:5" x14ac:dyDescent="0.25">
      <c r="A40" s="5">
        <v>39</v>
      </c>
      <c r="B40" s="5" t="s">
        <v>93</v>
      </c>
      <c r="C40" s="5" t="s">
        <v>94</v>
      </c>
      <c r="D40" s="5">
        <v>4.3</v>
      </c>
      <c r="E40" s="5">
        <v>8.6</v>
      </c>
    </row>
    <row r="41" spans="1:5" x14ac:dyDescent="0.25">
      <c r="A41" s="5">
        <v>40</v>
      </c>
      <c r="B41" s="5" t="s">
        <v>95</v>
      </c>
      <c r="C41" s="5" t="s">
        <v>96</v>
      </c>
      <c r="D41" s="5">
        <v>4.4000000000000004</v>
      </c>
      <c r="E41" s="5">
        <v>8.8000000000000007</v>
      </c>
    </row>
    <row r="42" spans="1:5" x14ac:dyDescent="0.25">
      <c r="A42" s="5">
        <v>41</v>
      </c>
      <c r="B42" s="5" t="s">
        <v>97</v>
      </c>
      <c r="C42" s="5" t="s">
        <v>98</v>
      </c>
      <c r="D42" s="5">
        <v>4.05</v>
      </c>
      <c r="E42" s="5">
        <v>8.1</v>
      </c>
    </row>
    <row r="43" spans="1:5" x14ac:dyDescent="0.25">
      <c r="A43" s="5">
        <v>42</v>
      </c>
      <c r="B43" s="5" t="s">
        <v>99</v>
      </c>
      <c r="C43" s="5" t="s">
        <v>100</v>
      </c>
      <c r="D43" s="5">
        <v>3.75</v>
      </c>
      <c r="E43" s="5">
        <v>7.5</v>
      </c>
    </row>
    <row r="44" spans="1:5" x14ac:dyDescent="0.25">
      <c r="A44" s="5">
        <v>43</v>
      </c>
      <c r="B44" s="5" t="s">
        <v>101</v>
      </c>
      <c r="C44" s="5" t="s">
        <v>102</v>
      </c>
      <c r="D44" s="5">
        <v>2.8</v>
      </c>
      <c r="E44" s="5">
        <v>5.6</v>
      </c>
    </row>
    <row r="45" spans="1:5" x14ac:dyDescent="0.25">
      <c r="A45" s="5">
        <v>44</v>
      </c>
      <c r="B45" s="5" t="s">
        <v>103</v>
      </c>
      <c r="C45" s="5" t="s">
        <v>104</v>
      </c>
      <c r="D45" s="5">
        <v>2.8</v>
      </c>
      <c r="E45" s="5">
        <v>5.6</v>
      </c>
    </row>
    <row r="46" spans="1:5" x14ac:dyDescent="0.25">
      <c r="A46" s="5">
        <v>45</v>
      </c>
      <c r="B46" s="5" t="s">
        <v>105</v>
      </c>
      <c r="C46" s="5" t="s">
        <v>106</v>
      </c>
      <c r="D46" s="5">
        <v>2.8</v>
      </c>
      <c r="E46" s="5">
        <v>5.6</v>
      </c>
    </row>
    <row r="47" spans="1:5" x14ac:dyDescent="0.25">
      <c r="A47" s="5">
        <v>46</v>
      </c>
      <c r="B47" s="5" t="s">
        <v>107</v>
      </c>
      <c r="C47" s="5" t="s">
        <v>108</v>
      </c>
      <c r="D47" s="5">
        <v>1.9</v>
      </c>
      <c r="E47" s="5">
        <v>3.8</v>
      </c>
    </row>
    <row r="48" spans="1:5" x14ac:dyDescent="0.25">
      <c r="A48" s="5">
        <v>47</v>
      </c>
      <c r="B48" s="5" t="s">
        <v>109</v>
      </c>
      <c r="C48" s="5" t="s">
        <v>110</v>
      </c>
      <c r="D48" s="5">
        <v>1.9</v>
      </c>
      <c r="E48" s="5">
        <v>3.8</v>
      </c>
    </row>
    <row r="49" spans="1:5" x14ac:dyDescent="0.25">
      <c r="A49" s="5">
        <v>48</v>
      </c>
      <c r="B49" s="5" t="s">
        <v>111</v>
      </c>
      <c r="C49" s="5" t="s">
        <v>112</v>
      </c>
      <c r="D49" s="5">
        <v>1.9</v>
      </c>
      <c r="E49" s="5">
        <v>3.8</v>
      </c>
    </row>
    <row r="50" spans="1:5" x14ac:dyDescent="0.25">
      <c r="A50" s="5">
        <v>49</v>
      </c>
      <c r="B50" s="5" t="s">
        <v>113</v>
      </c>
      <c r="C50" s="5" t="s">
        <v>114</v>
      </c>
      <c r="D50" s="5">
        <v>1.9</v>
      </c>
      <c r="E50" s="5">
        <v>3.8</v>
      </c>
    </row>
    <row r="51" spans="1:5" x14ac:dyDescent="0.25">
      <c r="A51" s="5">
        <v>50</v>
      </c>
      <c r="B51" s="5" t="s">
        <v>115</v>
      </c>
      <c r="C51" s="5" t="s">
        <v>116</v>
      </c>
      <c r="D51" s="5">
        <v>1.9</v>
      </c>
      <c r="E51" s="5">
        <v>3.8</v>
      </c>
    </row>
    <row r="52" spans="1:5" x14ac:dyDescent="0.25">
      <c r="A52" s="5">
        <v>51</v>
      </c>
      <c r="B52" s="5" t="s">
        <v>117</v>
      </c>
      <c r="C52" s="5" t="s">
        <v>118</v>
      </c>
      <c r="D52" s="5">
        <v>1.9</v>
      </c>
      <c r="E52" s="5">
        <v>3.8</v>
      </c>
    </row>
    <row r="53" spans="1:5" x14ac:dyDescent="0.25">
      <c r="A53" s="5">
        <v>52</v>
      </c>
      <c r="B53" s="5" t="s">
        <v>119</v>
      </c>
      <c r="C53" s="5" t="s">
        <v>120</v>
      </c>
      <c r="D53" s="5">
        <v>1.9</v>
      </c>
      <c r="E53" s="5">
        <v>3.8</v>
      </c>
    </row>
    <row r="54" spans="1:5" x14ac:dyDescent="0.25">
      <c r="A54" s="5">
        <v>53</v>
      </c>
      <c r="B54" s="5" t="s">
        <v>121</v>
      </c>
      <c r="C54" s="5" t="s">
        <v>122</v>
      </c>
      <c r="D54" s="5">
        <v>1.9</v>
      </c>
      <c r="E54" s="5">
        <v>3.8</v>
      </c>
    </row>
    <row r="55" spans="1:5" x14ac:dyDescent="0.25">
      <c r="A55" s="5">
        <v>54</v>
      </c>
      <c r="B55" s="5" t="s">
        <v>123</v>
      </c>
      <c r="C55" s="5" t="s">
        <v>124</v>
      </c>
      <c r="D55" s="5">
        <v>1.9</v>
      </c>
      <c r="E55" s="5">
        <v>3.8</v>
      </c>
    </row>
    <row r="56" spans="1:5" x14ac:dyDescent="0.25">
      <c r="A56" s="5">
        <v>55</v>
      </c>
      <c r="B56" s="5" t="s">
        <v>125</v>
      </c>
      <c r="C56" s="5" t="s">
        <v>126</v>
      </c>
      <c r="D56" s="5">
        <v>1.9</v>
      </c>
      <c r="E56" s="5">
        <v>3.8</v>
      </c>
    </row>
    <row r="57" spans="1:5" x14ac:dyDescent="0.25">
      <c r="A57" s="5">
        <v>56</v>
      </c>
      <c r="B57" s="5" t="s">
        <v>127</v>
      </c>
      <c r="C57" s="5" t="s">
        <v>128</v>
      </c>
      <c r="D57" s="5">
        <v>1.9</v>
      </c>
      <c r="E57" s="5">
        <v>3.8</v>
      </c>
    </row>
    <row r="58" spans="1:5" x14ac:dyDescent="0.25">
      <c r="A58" s="5">
        <v>57</v>
      </c>
      <c r="B58" s="5" t="s">
        <v>129</v>
      </c>
      <c r="C58" s="5" t="s">
        <v>130</v>
      </c>
      <c r="D58" s="5">
        <v>1.9</v>
      </c>
      <c r="E58" s="5">
        <v>3.8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8">
    <pageSetUpPr fitToPage="1"/>
  </sheetPr>
  <dimension ref="A1:C54"/>
  <sheetViews>
    <sheetView view="pageBreakPreview" zoomScale="70" zoomScaleNormal="85" zoomScaleSheetLayoutView="70" workbookViewId="0">
      <selection activeCell="C24" sqref="C24"/>
    </sheetView>
  </sheetViews>
  <sheetFormatPr defaultColWidth="6.5703125" defaultRowHeight="12.75" x14ac:dyDescent="0.2"/>
  <cols>
    <col min="1" max="1" width="93" style="33" customWidth="1"/>
    <col min="2" max="3" width="12.42578125" style="33" customWidth="1"/>
    <col min="4" max="217" width="6.5703125" style="33"/>
    <col min="218" max="218" width="37.5703125" style="33" customWidth="1"/>
    <col min="219" max="219" width="10.5703125" style="33" customWidth="1"/>
    <col min="220" max="220" width="14.42578125" style="33" customWidth="1"/>
    <col min="221" max="221" width="8.5703125" style="33" customWidth="1"/>
    <col min="222" max="222" width="10.85546875" style="33" customWidth="1"/>
    <col min="223" max="223" width="13.140625" style="33" customWidth="1"/>
    <col min="224" max="224" width="10.140625" style="33" customWidth="1"/>
    <col min="225" max="225" width="11" style="33" customWidth="1"/>
    <col min="226" max="226" width="13.42578125" style="33" customWidth="1"/>
    <col min="227" max="227" width="9.5703125" style="33" customWidth="1"/>
    <col min="228" max="228" width="11" style="33" customWidth="1"/>
    <col min="229" max="229" width="13.5703125" style="33" customWidth="1"/>
    <col min="230" max="230" width="12.42578125" style="33" customWidth="1"/>
    <col min="231" max="231" width="14.5703125" style="33" customWidth="1"/>
    <col min="232" max="233" width="11.85546875" style="33" customWidth="1"/>
    <col min="234" max="234" width="14.5703125" style="33" customWidth="1"/>
    <col min="235" max="235" width="11.140625" style="33" customWidth="1"/>
    <col min="236" max="236" width="10.140625" style="33" customWidth="1"/>
    <col min="237" max="237" width="10.85546875" style="33" customWidth="1"/>
    <col min="238" max="238" width="12.42578125" style="33" customWidth="1"/>
    <col min="239" max="473" width="6.5703125" style="33"/>
    <col min="474" max="474" width="37.5703125" style="33" customWidth="1"/>
    <col min="475" max="475" width="10.5703125" style="33" customWidth="1"/>
    <col min="476" max="476" width="14.42578125" style="33" customWidth="1"/>
    <col min="477" max="477" width="8.5703125" style="33" customWidth="1"/>
    <col min="478" max="478" width="10.85546875" style="33" customWidth="1"/>
    <col min="479" max="479" width="13.140625" style="33" customWidth="1"/>
    <col min="480" max="480" width="10.140625" style="33" customWidth="1"/>
    <col min="481" max="481" width="11" style="33" customWidth="1"/>
    <col min="482" max="482" width="13.42578125" style="33" customWidth="1"/>
    <col min="483" max="483" width="9.5703125" style="33" customWidth="1"/>
    <col min="484" max="484" width="11" style="33" customWidth="1"/>
    <col min="485" max="485" width="13.5703125" style="33" customWidth="1"/>
    <col min="486" max="486" width="12.42578125" style="33" customWidth="1"/>
    <col min="487" max="487" width="14.5703125" style="33" customWidth="1"/>
    <col min="488" max="489" width="11.85546875" style="33" customWidth="1"/>
    <col min="490" max="490" width="14.5703125" style="33" customWidth="1"/>
    <col min="491" max="491" width="11.140625" style="33" customWidth="1"/>
    <col min="492" max="492" width="10.140625" style="33" customWidth="1"/>
    <col min="493" max="493" width="10.85546875" style="33" customWidth="1"/>
    <col min="494" max="494" width="12.42578125" style="33" customWidth="1"/>
    <col min="495" max="729" width="6.5703125" style="33"/>
    <col min="730" max="730" width="37.5703125" style="33" customWidth="1"/>
    <col min="731" max="731" width="10.5703125" style="33" customWidth="1"/>
    <col min="732" max="732" width="14.42578125" style="33" customWidth="1"/>
    <col min="733" max="733" width="8.5703125" style="33" customWidth="1"/>
    <col min="734" max="734" width="10.85546875" style="33" customWidth="1"/>
    <col min="735" max="735" width="13.140625" style="33" customWidth="1"/>
    <col min="736" max="736" width="10.140625" style="33" customWidth="1"/>
    <col min="737" max="737" width="11" style="33" customWidth="1"/>
    <col min="738" max="738" width="13.42578125" style="33" customWidth="1"/>
    <col min="739" max="739" width="9.5703125" style="33" customWidth="1"/>
    <col min="740" max="740" width="11" style="33" customWidth="1"/>
    <col min="741" max="741" width="13.5703125" style="33" customWidth="1"/>
    <col min="742" max="742" width="12.42578125" style="33" customWidth="1"/>
    <col min="743" max="743" width="14.5703125" style="33" customWidth="1"/>
    <col min="744" max="745" width="11.85546875" style="33" customWidth="1"/>
    <col min="746" max="746" width="14.5703125" style="33" customWidth="1"/>
    <col min="747" max="747" width="11.140625" style="33" customWidth="1"/>
    <col min="748" max="748" width="10.140625" style="33" customWidth="1"/>
    <col min="749" max="749" width="10.85546875" style="33" customWidth="1"/>
    <col min="750" max="750" width="12.42578125" style="33" customWidth="1"/>
    <col min="751" max="985" width="6.5703125" style="33"/>
    <col min="986" max="986" width="37.5703125" style="33" customWidth="1"/>
    <col min="987" max="987" width="10.5703125" style="33" customWidth="1"/>
    <col min="988" max="988" width="14.42578125" style="33" customWidth="1"/>
    <col min="989" max="989" width="8.5703125" style="33" customWidth="1"/>
    <col min="990" max="990" width="10.85546875" style="33" customWidth="1"/>
    <col min="991" max="991" width="13.140625" style="33" customWidth="1"/>
    <col min="992" max="992" width="10.140625" style="33" customWidth="1"/>
    <col min="993" max="993" width="11" style="33" customWidth="1"/>
    <col min="994" max="994" width="13.42578125" style="33" customWidth="1"/>
    <col min="995" max="995" width="9.5703125" style="33" customWidth="1"/>
    <col min="996" max="996" width="11" style="33" customWidth="1"/>
    <col min="997" max="997" width="13.5703125" style="33" customWidth="1"/>
    <col min="998" max="998" width="12.42578125" style="33" customWidth="1"/>
    <col min="999" max="999" width="14.5703125" style="33" customWidth="1"/>
    <col min="1000" max="1001" width="11.85546875" style="33" customWidth="1"/>
    <col min="1002" max="1002" width="14.5703125" style="33" customWidth="1"/>
    <col min="1003" max="1003" width="11.140625" style="33" customWidth="1"/>
    <col min="1004" max="1004" width="10.140625" style="33" customWidth="1"/>
    <col min="1005" max="1005" width="10.85546875" style="33" customWidth="1"/>
    <col min="1006" max="1006" width="12.42578125" style="33" customWidth="1"/>
    <col min="1007" max="1241" width="6.5703125" style="33"/>
    <col min="1242" max="1242" width="37.5703125" style="33" customWidth="1"/>
    <col min="1243" max="1243" width="10.5703125" style="33" customWidth="1"/>
    <col min="1244" max="1244" width="14.42578125" style="33" customWidth="1"/>
    <col min="1245" max="1245" width="8.5703125" style="33" customWidth="1"/>
    <col min="1246" max="1246" width="10.85546875" style="33" customWidth="1"/>
    <col min="1247" max="1247" width="13.140625" style="33" customWidth="1"/>
    <col min="1248" max="1248" width="10.140625" style="33" customWidth="1"/>
    <col min="1249" max="1249" width="11" style="33" customWidth="1"/>
    <col min="1250" max="1250" width="13.42578125" style="33" customWidth="1"/>
    <col min="1251" max="1251" width="9.5703125" style="33" customWidth="1"/>
    <col min="1252" max="1252" width="11" style="33" customWidth="1"/>
    <col min="1253" max="1253" width="13.5703125" style="33" customWidth="1"/>
    <col min="1254" max="1254" width="12.42578125" style="33" customWidth="1"/>
    <col min="1255" max="1255" width="14.5703125" style="33" customWidth="1"/>
    <col min="1256" max="1257" width="11.85546875" style="33" customWidth="1"/>
    <col min="1258" max="1258" width="14.5703125" style="33" customWidth="1"/>
    <col min="1259" max="1259" width="11.140625" style="33" customWidth="1"/>
    <col min="1260" max="1260" width="10.140625" style="33" customWidth="1"/>
    <col min="1261" max="1261" width="10.85546875" style="33" customWidth="1"/>
    <col min="1262" max="1262" width="12.42578125" style="33" customWidth="1"/>
    <col min="1263" max="1497" width="6.5703125" style="33"/>
    <col min="1498" max="1498" width="37.5703125" style="33" customWidth="1"/>
    <col min="1499" max="1499" width="10.5703125" style="33" customWidth="1"/>
    <col min="1500" max="1500" width="14.42578125" style="33" customWidth="1"/>
    <col min="1501" max="1501" width="8.5703125" style="33" customWidth="1"/>
    <col min="1502" max="1502" width="10.85546875" style="33" customWidth="1"/>
    <col min="1503" max="1503" width="13.140625" style="33" customWidth="1"/>
    <col min="1504" max="1504" width="10.140625" style="33" customWidth="1"/>
    <col min="1505" max="1505" width="11" style="33" customWidth="1"/>
    <col min="1506" max="1506" width="13.42578125" style="33" customWidth="1"/>
    <col min="1507" max="1507" width="9.5703125" style="33" customWidth="1"/>
    <col min="1508" max="1508" width="11" style="33" customWidth="1"/>
    <col min="1509" max="1509" width="13.5703125" style="33" customWidth="1"/>
    <col min="1510" max="1510" width="12.42578125" style="33" customWidth="1"/>
    <col min="1511" max="1511" width="14.5703125" style="33" customWidth="1"/>
    <col min="1512" max="1513" width="11.85546875" style="33" customWidth="1"/>
    <col min="1514" max="1514" width="14.5703125" style="33" customWidth="1"/>
    <col min="1515" max="1515" width="11.140625" style="33" customWidth="1"/>
    <col min="1516" max="1516" width="10.140625" style="33" customWidth="1"/>
    <col min="1517" max="1517" width="10.85546875" style="33" customWidth="1"/>
    <col min="1518" max="1518" width="12.42578125" style="33" customWidth="1"/>
    <col min="1519" max="1753" width="6.5703125" style="33"/>
    <col min="1754" max="1754" width="37.5703125" style="33" customWidth="1"/>
    <col min="1755" max="1755" width="10.5703125" style="33" customWidth="1"/>
    <col min="1756" max="1756" width="14.42578125" style="33" customWidth="1"/>
    <col min="1757" max="1757" width="8.5703125" style="33" customWidth="1"/>
    <col min="1758" max="1758" width="10.85546875" style="33" customWidth="1"/>
    <col min="1759" max="1759" width="13.140625" style="33" customWidth="1"/>
    <col min="1760" max="1760" width="10.140625" style="33" customWidth="1"/>
    <col min="1761" max="1761" width="11" style="33" customWidth="1"/>
    <col min="1762" max="1762" width="13.42578125" style="33" customWidth="1"/>
    <col min="1763" max="1763" width="9.5703125" style="33" customWidth="1"/>
    <col min="1764" max="1764" width="11" style="33" customWidth="1"/>
    <col min="1765" max="1765" width="13.5703125" style="33" customWidth="1"/>
    <col min="1766" max="1766" width="12.42578125" style="33" customWidth="1"/>
    <col min="1767" max="1767" width="14.5703125" style="33" customWidth="1"/>
    <col min="1768" max="1769" width="11.85546875" style="33" customWidth="1"/>
    <col min="1770" max="1770" width="14.5703125" style="33" customWidth="1"/>
    <col min="1771" max="1771" width="11.140625" style="33" customWidth="1"/>
    <col min="1772" max="1772" width="10.140625" style="33" customWidth="1"/>
    <col min="1773" max="1773" width="10.85546875" style="33" customWidth="1"/>
    <col min="1774" max="1774" width="12.42578125" style="33" customWidth="1"/>
    <col min="1775" max="2009" width="6.5703125" style="33"/>
    <col min="2010" max="2010" width="37.5703125" style="33" customWidth="1"/>
    <col min="2011" max="2011" width="10.5703125" style="33" customWidth="1"/>
    <col min="2012" max="2012" width="14.42578125" style="33" customWidth="1"/>
    <col min="2013" max="2013" width="8.5703125" style="33" customWidth="1"/>
    <col min="2014" max="2014" width="10.85546875" style="33" customWidth="1"/>
    <col min="2015" max="2015" width="13.140625" style="33" customWidth="1"/>
    <col min="2016" max="2016" width="10.140625" style="33" customWidth="1"/>
    <col min="2017" max="2017" width="11" style="33" customWidth="1"/>
    <col min="2018" max="2018" width="13.42578125" style="33" customWidth="1"/>
    <col min="2019" max="2019" width="9.5703125" style="33" customWidth="1"/>
    <col min="2020" max="2020" width="11" style="33" customWidth="1"/>
    <col min="2021" max="2021" width="13.5703125" style="33" customWidth="1"/>
    <col min="2022" max="2022" width="12.42578125" style="33" customWidth="1"/>
    <col min="2023" max="2023" width="14.5703125" style="33" customWidth="1"/>
    <col min="2024" max="2025" width="11.85546875" style="33" customWidth="1"/>
    <col min="2026" max="2026" width="14.5703125" style="33" customWidth="1"/>
    <col min="2027" max="2027" width="11.140625" style="33" customWidth="1"/>
    <col min="2028" max="2028" width="10.140625" style="33" customWidth="1"/>
    <col min="2029" max="2029" width="10.85546875" style="33" customWidth="1"/>
    <col min="2030" max="2030" width="12.42578125" style="33" customWidth="1"/>
    <col min="2031" max="2265" width="6.5703125" style="33"/>
    <col min="2266" max="2266" width="37.5703125" style="33" customWidth="1"/>
    <col min="2267" max="2267" width="10.5703125" style="33" customWidth="1"/>
    <col min="2268" max="2268" width="14.42578125" style="33" customWidth="1"/>
    <col min="2269" max="2269" width="8.5703125" style="33" customWidth="1"/>
    <col min="2270" max="2270" width="10.85546875" style="33" customWidth="1"/>
    <col min="2271" max="2271" width="13.140625" style="33" customWidth="1"/>
    <col min="2272" max="2272" width="10.140625" style="33" customWidth="1"/>
    <col min="2273" max="2273" width="11" style="33" customWidth="1"/>
    <col min="2274" max="2274" width="13.42578125" style="33" customWidth="1"/>
    <col min="2275" max="2275" width="9.5703125" style="33" customWidth="1"/>
    <col min="2276" max="2276" width="11" style="33" customWidth="1"/>
    <col min="2277" max="2277" width="13.5703125" style="33" customWidth="1"/>
    <col min="2278" max="2278" width="12.42578125" style="33" customWidth="1"/>
    <col min="2279" max="2279" width="14.5703125" style="33" customWidth="1"/>
    <col min="2280" max="2281" width="11.85546875" style="33" customWidth="1"/>
    <col min="2282" max="2282" width="14.5703125" style="33" customWidth="1"/>
    <col min="2283" max="2283" width="11.140625" style="33" customWidth="1"/>
    <col min="2284" max="2284" width="10.140625" style="33" customWidth="1"/>
    <col min="2285" max="2285" width="10.85546875" style="33" customWidth="1"/>
    <col min="2286" max="2286" width="12.42578125" style="33" customWidth="1"/>
    <col min="2287" max="2521" width="6.5703125" style="33"/>
    <col min="2522" max="2522" width="37.5703125" style="33" customWidth="1"/>
    <col min="2523" max="2523" width="10.5703125" style="33" customWidth="1"/>
    <col min="2524" max="2524" width="14.42578125" style="33" customWidth="1"/>
    <col min="2525" max="2525" width="8.5703125" style="33" customWidth="1"/>
    <col min="2526" max="2526" width="10.85546875" style="33" customWidth="1"/>
    <col min="2527" max="2527" width="13.140625" style="33" customWidth="1"/>
    <col min="2528" max="2528" width="10.140625" style="33" customWidth="1"/>
    <col min="2529" max="2529" width="11" style="33" customWidth="1"/>
    <col min="2530" max="2530" width="13.42578125" style="33" customWidth="1"/>
    <col min="2531" max="2531" width="9.5703125" style="33" customWidth="1"/>
    <col min="2532" max="2532" width="11" style="33" customWidth="1"/>
    <col min="2533" max="2533" width="13.5703125" style="33" customWidth="1"/>
    <col min="2534" max="2534" width="12.42578125" style="33" customWidth="1"/>
    <col min="2535" max="2535" width="14.5703125" style="33" customWidth="1"/>
    <col min="2536" max="2537" width="11.85546875" style="33" customWidth="1"/>
    <col min="2538" max="2538" width="14.5703125" style="33" customWidth="1"/>
    <col min="2539" max="2539" width="11.140625" style="33" customWidth="1"/>
    <col min="2540" max="2540" width="10.140625" style="33" customWidth="1"/>
    <col min="2541" max="2541" width="10.85546875" style="33" customWidth="1"/>
    <col min="2542" max="2542" width="12.42578125" style="33" customWidth="1"/>
    <col min="2543" max="2777" width="6.5703125" style="33"/>
    <col min="2778" max="2778" width="37.5703125" style="33" customWidth="1"/>
    <col min="2779" max="2779" width="10.5703125" style="33" customWidth="1"/>
    <col min="2780" max="2780" width="14.42578125" style="33" customWidth="1"/>
    <col min="2781" max="2781" width="8.5703125" style="33" customWidth="1"/>
    <col min="2782" max="2782" width="10.85546875" style="33" customWidth="1"/>
    <col min="2783" max="2783" width="13.140625" style="33" customWidth="1"/>
    <col min="2784" max="2784" width="10.140625" style="33" customWidth="1"/>
    <col min="2785" max="2785" width="11" style="33" customWidth="1"/>
    <col min="2786" max="2786" width="13.42578125" style="33" customWidth="1"/>
    <col min="2787" max="2787" width="9.5703125" style="33" customWidth="1"/>
    <col min="2788" max="2788" width="11" style="33" customWidth="1"/>
    <col min="2789" max="2789" width="13.5703125" style="33" customWidth="1"/>
    <col min="2790" max="2790" width="12.42578125" style="33" customWidth="1"/>
    <col min="2791" max="2791" width="14.5703125" style="33" customWidth="1"/>
    <col min="2792" max="2793" width="11.85546875" style="33" customWidth="1"/>
    <col min="2794" max="2794" width="14.5703125" style="33" customWidth="1"/>
    <col min="2795" max="2795" width="11.140625" style="33" customWidth="1"/>
    <col min="2796" max="2796" width="10.140625" style="33" customWidth="1"/>
    <col min="2797" max="2797" width="10.85546875" style="33" customWidth="1"/>
    <col min="2798" max="2798" width="12.42578125" style="33" customWidth="1"/>
    <col min="2799" max="3033" width="6.5703125" style="33"/>
    <col min="3034" max="3034" width="37.5703125" style="33" customWidth="1"/>
    <col min="3035" max="3035" width="10.5703125" style="33" customWidth="1"/>
    <col min="3036" max="3036" width="14.42578125" style="33" customWidth="1"/>
    <col min="3037" max="3037" width="8.5703125" style="33" customWidth="1"/>
    <col min="3038" max="3038" width="10.85546875" style="33" customWidth="1"/>
    <col min="3039" max="3039" width="13.140625" style="33" customWidth="1"/>
    <col min="3040" max="3040" width="10.140625" style="33" customWidth="1"/>
    <col min="3041" max="3041" width="11" style="33" customWidth="1"/>
    <col min="3042" max="3042" width="13.42578125" style="33" customWidth="1"/>
    <col min="3043" max="3043" width="9.5703125" style="33" customWidth="1"/>
    <col min="3044" max="3044" width="11" style="33" customWidth="1"/>
    <col min="3045" max="3045" width="13.5703125" style="33" customWidth="1"/>
    <col min="3046" max="3046" width="12.42578125" style="33" customWidth="1"/>
    <col min="3047" max="3047" width="14.5703125" style="33" customWidth="1"/>
    <col min="3048" max="3049" width="11.85546875" style="33" customWidth="1"/>
    <col min="3050" max="3050" width="14.5703125" style="33" customWidth="1"/>
    <col min="3051" max="3051" width="11.140625" style="33" customWidth="1"/>
    <col min="3052" max="3052" width="10.140625" style="33" customWidth="1"/>
    <col min="3053" max="3053" width="10.85546875" style="33" customWidth="1"/>
    <col min="3054" max="3054" width="12.42578125" style="33" customWidth="1"/>
    <col min="3055" max="3289" width="6.5703125" style="33"/>
    <col min="3290" max="3290" width="37.5703125" style="33" customWidth="1"/>
    <col min="3291" max="3291" width="10.5703125" style="33" customWidth="1"/>
    <col min="3292" max="3292" width="14.42578125" style="33" customWidth="1"/>
    <col min="3293" max="3293" width="8.5703125" style="33" customWidth="1"/>
    <col min="3294" max="3294" width="10.85546875" style="33" customWidth="1"/>
    <col min="3295" max="3295" width="13.140625" style="33" customWidth="1"/>
    <col min="3296" max="3296" width="10.140625" style="33" customWidth="1"/>
    <col min="3297" max="3297" width="11" style="33" customWidth="1"/>
    <col min="3298" max="3298" width="13.42578125" style="33" customWidth="1"/>
    <col min="3299" max="3299" width="9.5703125" style="33" customWidth="1"/>
    <col min="3300" max="3300" width="11" style="33" customWidth="1"/>
    <col min="3301" max="3301" width="13.5703125" style="33" customWidth="1"/>
    <col min="3302" max="3302" width="12.42578125" style="33" customWidth="1"/>
    <col min="3303" max="3303" width="14.5703125" style="33" customWidth="1"/>
    <col min="3304" max="3305" width="11.85546875" style="33" customWidth="1"/>
    <col min="3306" max="3306" width="14.5703125" style="33" customWidth="1"/>
    <col min="3307" max="3307" width="11.140625" style="33" customWidth="1"/>
    <col min="3308" max="3308" width="10.140625" style="33" customWidth="1"/>
    <col min="3309" max="3309" width="10.85546875" style="33" customWidth="1"/>
    <col min="3310" max="3310" width="12.42578125" style="33" customWidth="1"/>
    <col min="3311" max="3545" width="6.5703125" style="33"/>
    <col min="3546" max="3546" width="37.5703125" style="33" customWidth="1"/>
    <col min="3547" max="3547" width="10.5703125" style="33" customWidth="1"/>
    <col min="3548" max="3548" width="14.42578125" style="33" customWidth="1"/>
    <col min="3549" max="3549" width="8.5703125" style="33" customWidth="1"/>
    <col min="3550" max="3550" width="10.85546875" style="33" customWidth="1"/>
    <col min="3551" max="3551" width="13.140625" style="33" customWidth="1"/>
    <col min="3552" max="3552" width="10.140625" style="33" customWidth="1"/>
    <col min="3553" max="3553" width="11" style="33" customWidth="1"/>
    <col min="3554" max="3554" width="13.42578125" style="33" customWidth="1"/>
    <col min="3555" max="3555" width="9.5703125" style="33" customWidth="1"/>
    <col min="3556" max="3556" width="11" style="33" customWidth="1"/>
    <col min="3557" max="3557" width="13.5703125" style="33" customWidth="1"/>
    <col min="3558" max="3558" width="12.42578125" style="33" customWidth="1"/>
    <col min="3559" max="3559" width="14.5703125" style="33" customWidth="1"/>
    <col min="3560" max="3561" width="11.85546875" style="33" customWidth="1"/>
    <col min="3562" max="3562" width="14.5703125" style="33" customWidth="1"/>
    <col min="3563" max="3563" width="11.140625" style="33" customWidth="1"/>
    <col min="3564" max="3564" width="10.140625" style="33" customWidth="1"/>
    <col min="3565" max="3565" width="10.85546875" style="33" customWidth="1"/>
    <col min="3566" max="3566" width="12.42578125" style="33" customWidth="1"/>
    <col min="3567" max="3801" width="6.5703125" style="33"/>
    <col min="3802" max="3802" width="37.5703125" style="33" customWidth="1"/>
    <col min="3803" max="3803" width="10.5703125" style="33" customWidth="1"/>
    <col min="3804" max="3804" width="14.42578125" style="33" customWidth="1"/>
    <col min="3805" max="3805" width="8.5703125" style="33" customWidth="1"/>
    <col min="3806" max="3806" width="10.85546875" style="33" customWidth="1"/>
    <col min="3807" max="3807" width="13.140625" style="33" customWidth="1"/>
    <col min="3808" max="3808" width="10.140625" style="33" customWidth="1"/>
    <col min="3809" max="3809" width="11" style="33" customWidth="1"/>
    <col min="3810" max="3810" width="13.42578125" style="33" customWidth="1"/>
    <col min="3811" max="3811" width="9.5703125" style="33" customWidth="1"/>
    <col min="3812" max="3812" width="11" style="33" customWidth="1"/>
    <col min="3813" max="3813" width="13.5703125" style="33" customWidth="1"/>
    <col min="3814" max="3814" width="12.42578125" style="33" customWidth="1"/>
    <col min="3815" max="3815" width="14.5703125" style="33" customWidth="1"/>
    <col min="3816" max="3817" width="11.85546875" style="33" customWidth="1"/>
    <col min="3818" max="3818" width="14.5703125" style="33" customWidth="1"/>
    <col min="3819" max="3819" width="11.140625" style="33" customWidth="1"/>
    <col min="3820" max="3820" width="10.140625" style="33" customWidth="1"/>
    <col min="3821" max="3821" width="10.85546875" style="33" customWidth="1"/>
    <col min="3822" max="3822" width="12.42578125" style="33" customWidth="1"/>
    <col min="3823" max="4057" width="6.5703125" style="33"/>
    <col min="4058" max="4058" width="37.5703125" style="33" customWidth="1"/>
    <col min="4059" max="4059" width="10.5703125" style="33" customWidth="1"/>
    <col min="4060" max="4060" width="14.42578125" style="33" customWidth="1"/>
    <col min="4061" max="4061" width="8.5703125" style="33" customWidth="1"/>
    <col min="4062" max="4062" width="10.85546875" style="33" customWidth="1"/>
    <col min="4063" max="4063" width="13.140625" style="33" customWidth="1"/>
    <col min="4064" max="4064" width="10.140625" style="33" customWidth="1"/>
    <col min="4065" max="4065" width="11" style="33" customWidth="1"/>
    <col min="4066" max="4066" width="13.42578125" style="33" customWidth="1"/>
    <col min="4067" max="4067" width="9.5703125" style="33" customWidth="1"/>
    <col min="4068" max="4068" width="11" style="33" customWidth="1"/>
    <col min="4069" max="4069" width="13.5703125" style="33" customWidth="1"/>
    <col min="4070" max="4070" width="12.42578125" style="33" customWidth="1"/>
    <col min="4071" max="4071" width="14.5703125" style="33" customWidth="1"/>
    <col min="4072" max="4073" width="11.85546875" style="33" customWidth="1"/>
    <col min="4074" max="4074" width="14.5703125" style="33" customWidth="1"/>
    <col min="4075" max="4075" width="11.140625" style="33" customWidth="1"/>
    <col min="4076" max="4076" width="10.140625" style="33" customWidth="1"/>
    <col min="4077" max="4077" width="10.85546875" style="33" customWidth="1"/>
    <col min="4078" max="4078" width="12.42578125" style="33" customWidth="1"/>
    <col min="4079" max="4313" width="6.5703125" style="33"/>
    <col min="4314" max="4314" width="37.5703125" style="33" customWidth="1"/>
    <col min="4315" max="4315" width="10.5703125" style="33" customWidth="1"/>
    <col min="4316" max="4316" width="14.42578125" style="33" customWidth="1"/>
    <col min="4317" max="4317" width="8.5703125" style="33" customWidth="1"/>
    <col min="4318" max="4318" width="10.85546875" style="33" customWidth="1"/>
    <col min="4319" max="4319" width="13.140625" style="33" customWidth="1"/>
    <col min="4320" max="4320" width="10.140625" style="33" customWidth="1"/>
    <col min="4321" max="4321" width="11" style="33" customWidth="1"/>
    <col min="4322" max="4322" width="13.42578125" style="33" customWidth="1"/>
    <col min="4323" max="4323" width="9.5703125" style="33" customWidth="1"/>
    <col min="4324" max="4324" width="11" style="33" customWidth="1"/>
    <col min="4325" max="4325" width="13.5703125" style="33" customWidth="1"/>
    <col min="4326" max="4326" width="12.42578125" style="33" customWidth="1"/>
    <col min="4327" max="4327" width="14.5703125" style="33" customWidth="1"/>
    <col min="4328" max="4329" width="11.85546875" style="33" customWidth="1"/>
    <col min="4330" max="4330" width="14.5703125" style="33" customWidth="1"/>
    <col min="4331" max="4331" width="11.140625" style="33" customWidth="1"/>
    <col min="4332" max="4332" width="10.140625" style="33" customWidth="1"/>
    <col min="4333" max="4333" width="10.85546875" style="33" customWidth="1"/>
    <col min="4334" max="4334" width="12.42578125" style="33" customWidth="1"/>
    <col min="4335" max="4569" width="6.5703125" style="33"/>
    <col min="4570" max="4570" width="37.5703125" style="33" customWidth="1"/>
    <col min="4571" max="4571" width="10.5703125" style="33" customWidth="1"/>
    <col min="4572" max="4572" width="14.42578125" style="33" customWidth="1"/>
    <col min="4573" max="4573" width="8.5703125" style="33" customWidth="1"/>
    <col min="4574" max="4574" width="10.85546875" style="33" customWidth="1"/>
    <col min="4575" max="4575" width="13.140625" style="33" customWidth="1"/>
    <col min="4576" max="4576" width="10.140625" style="33" customWidth="1"/>
    <col min="4577" max="4577" width="11" style="33" customWidth="1"/>
    <col min="4578" max="4578" width="13.42578125" style="33" customWidth="1"/>
    <col min="4579" max="4579" width="9.5703125" style="33" customWidth="1"/>
    <col min="4580" max="4580" width="11" style="33" customWidth="1"/>
    <col min="4581" max="4581" width="13.5703125" style="33" customWidth="1"/>
    <col min="4582" max="4582" width="12.42578125" style="33" customWidth="1"/>
    <col min="4583" max="4583" width="14.5703125" style="33" customWidth="1"/>
    <col min="4584" max="4585" width="11.85546875" style="33" customWidth="1"/>
    <col min="4586" max="4586" width="14.5703125" style="33" customWidth="1"/>
    <col min="4587" max="4587" width="11.140625" style="33" customWidth="1"/>
    <col min="4588" max="4588" width="10.140625" style="33" customWidth="1"/>
    <col min="4589" max="4589" width="10.85546875" style="33" customWidth="1"/>
    <col min="4590" max="4590" width="12.42578125" style="33" customWidth="1"/>
    <col min="4591" max="4825" width="6.5703125" style="33"/>
    <col min="4826" max="4826" width="37.5703125" style="33" customWidth="1"/>
    <col min="4827" max="4827" width="10.5703125" style="33" customWidth="1"/>
    <col min="4828" max="4828" width="14.42578125" style="33" customWidth="1"/>
    <col min="4829" max="4829" width="8.5703125" style="33" customWidth="1"/>
    <col min="4830" max="4830" width="10.85546875" style="33" customWidth="1"/>
    <col min="4831" max="4831" width="13.140625" style="33" customWidth="1"/>
    <col min="4832" max="4832" width="10.140625" style="33" customWidth="1"/>
    <col min="4833" max="4833" width="11" style="33" customWidth="1"/>
    <col min="4834" max="4834" width="13.42578125" style="33" customWidth="1"/>
    <col min="4835" max="4835" width="9.5703125" style="33" customWidth="1"/>
    <col min="4836" max="4836" width="11" style="33" customWidth="1"/>
    <col min="4837" max="4837" width="13.5703125" style="33" customWidth="1"/>
    <col min="4838" max="4838" width="12.42578125" style="33" customWidth="1"/>
    <col min="4839" max="4839" width="14.5703125" style="33" customWidth="1"/>
    <col min="4840" max="4841" width="11.85546875" style="33" customWidth="1"/>
    <col min="4842" max="4842" width="14.5703125" style="33" customWidth="1"/>
    <col min="4843" max="4843" width="11.140625" style="33" customWidth="1"/>
    <col min="4844" max="4844" width="10.140625" style="33" customWidth="1"/>
    <col min="4845" max="4845" width="10.85546875" style="33" customWidth="1"/>
    <col min="4846" max="4846" width="12.42578125" style="33" customWidth="1"/>
    <col min="4847" max="5081" width="6.5703125" style="33"/>
    <col min="5082" max="5082" width="37.5703125" style="33" customWidth="1"/>
    <col min="5083" max="5083" width="10.5703125" style="33" customWidth="1"/>
    <col min="5084" max="5084" width="14.42578125" style="33" customWidth="1"/>
    <col min="5085" max="5085" width="8.5703125" style="33" customWidth="1"/>
    <col min="5086" max="5086" width="10.85546875" style="33" customWidth="1"/>
    <col min="5087" max="5087" width="13.140625" style="33" customWidth="1"/>
    <col min="5088" max="5088" width="10.140625" style="33" customWidth="1"/>
    <col min="5089" max="5089" width="11" style="33" customWidth="1"/>
    <col min="5090" max="5090" width="13.42578125" style="33" customWidth="1"/>
    <col min="5091" max="5091" width="9.5703125" style="33" customWidth="1"/>
    <col min="5092" max="5092" width="11" style="33" customWidth="1"/>
    <col min="5093" max="5093" width="13.5703125" style="33" customWidth="1"/>
    <col min="5094" max="5094" width="12.42578125" style="33" customWidth="1"/>
    <col min="5095" max="5095" width="14.5703125" style="33" customWidth="1"/>
    <col min="5096" max="5097" width="11.85546875" style="33" customWidth="1"/>
    <col min="5098" max="5098" width="14.5703125" style="33" customWidth="1"/>
    <col min="5099" max="5099" width="11.140625" style="33" customWidth="1"/>
    <col min="5100" max="5100" width="10.140625" style="33" customWidth="1"/>
    <col min="5101" max="5101" width="10.85546875" style="33" customWidth="1"/>
    <col min="5102" max="5102" width="12.42578125" style="33" customWidth="1"/>
    <col min="5103" max="5337" width="6.5703125" style="33"/>
    <col min="5338" max="5338" width="37.5703125" style="33" customWidth="1"/>
    <col min="5339" max="5339" width="10.5703125" style="33" customWidth="1"/>
    <col min="5340" max="5340" width="14.42578125" style="33" customWidth="1"/>
    <col min="5341" max="5341" width="8.5703125" style="33" customWidth="1"/>
    <col min="5342" max="5342" width="10.85546875" style="33" customWidth="1"/>
    <col min="5343" max="5343" width="13.140625" style="33" customWidth="1"/>
    <col min="5344" max="5344" width="10.140625" style="33" customWidth="1"/>
    <col min="5345" max="5345" width="11" style="33" customWidth="1"/>
    <col min="5346" max="5346" width="13.42578125" style="33" customWidth="1"/>
    <col min="5347" max="5347" width="9.5703125" style="33" customWidth="1"/>
    <col min="5348" max="5348" width="11" style="33" customWidth="1"/>
    <col min="5349" max="5349" width="13.5703125" style="33" customWidth="1"/>
    <col min="5350" max="5350" width="12.42578125" style="33" customWidth="1"/>
    <col min="5351" max="5351" width="14.5703125" style="33" customWidth="1"/>
    <col min="5352" max="5353" width="11.85546875" style="33" customWidth="1"/>
    <col min="5354" max="5354" width="14.5703125" style="33" customWidth="1"/>
    <col min="5355" max="5355" width="11.140625" style="33" customWidth="1"/>
    <col min="5356" max="5356" width="10.140625" style="33" customWidth="1"/>
    <col min="5357" max="5357" width="10.85546875" style="33" customWidth="1"/>
    <col min="5358" max="5358" width="12.42578125" style="33" customWidth="1"/>
    <col min="5359" max="5593" width="6.5703125" style="33"/>
    <col min="5594" max="5594" width="37.5703125" style="33" customWidth="1"/>
    <col min="5595" max="5595" width="10.5703125" style="33" customWidth="1"/>
    <col min="5596" max="5596" width="14.42578125" style="33" customWidth="1"/>
    <col min="5597" max="5597" width="8.5703125" style="33" customWidth="1"/>
    <col min="5598" max="5598" width="10.85546875" style="33" customWidth="1"/>
    <col min="5599" max="5599" width="13.140625" style="33" customWidth="1"/>
    <col min="5600" max="5600" width="10.140625" style="33" customWidth="1"/>
    <col min="5601" max="5601" width="11" style="33" customWidth="1"/>
    <col min="5602" max="5602" width="13.42578125" style="33" customWidth="1"/>
    <col min="5603" max="5603" width="9.5703125" style="33" customWidth="1"/>
    <col min="5604" max="5604" width="11" style="33" customWidth="1"/>
    <col min="5605" max="5605" width="13.5703125" style="33" customWidth="1"/>
    <col min="5606" max="5606" width="12.42578125" style="33" customWidth="1"/>
    <col min="5607" max="5607" width="14.5703125" style="33" customWidth="1"/>
    <col min="5608" max="5609" width="11.85546875" style="33" customWidth="1"/>
    <col min="5610" max="5610" width="14.5703125" style="33" customWidth="1"/>
    <col min="5611" max="5611" width="11.140625" style="33" customWidth="1"/>
    <col min="5612" max="5612" width="10.140625" style="33" customWidth="1"/>
    <col min="5613" max="5613" width="10.85546875" style="33" customWidth="1"/>
    <col min="5614" max="5614" width="12.42578125" style="33" customWidth="1"/>
    <col min="5615" max="5849" width="6.5703125" style="33"/>
    <col min="5850" max="5850" width="37.5703125" style="33" customWidth="1"/>
    <col min="5851" max="5851" width="10.5703125" style="33" customWidth="1"/>
    <col min="5852" max="5852" width="14.42578125" style="33" customWidth="1"/>
    <col min="5853" max="5853" width="8.5703125" style="33" customWidth="1"/>
    <col min="5854" max="5854" width="10.85546875" style="33" customWidth="1"/>
    <col min="5855" max="5855" width="13.140625" style="33" customWidth="1"/>
    <col min="5856" max="5856" width="10.140625" style="33" customWidth="1"/>
    <col min="5857" max="5857" width="11" style="33" customWidth="1"/>
    <col min="5858" max="5858" width="13.42578125" style="33" customWidth="1"/>
    <col min="5859" max="5859" width="9.5703125" style="33" customWidth="1"/>
    <col min="5860" max="5860" width="11" style="33" customWidth="1"/>
    <col min="5861" max="5861" width="13.5703125" style="33" customWidth="1"/>
    <col min="5862" max="5862" width="12.42578125" style="33" customWidth="1"/>
    <col min="5863" max="5863" width="14.5703125" style="33" customWidth="1"/>
    <col min="5864" max="5865" width="11.85546875" style="33" customWidth="1"/>
    <col min="5866" max="5866" width="14.5703125" style="33" customWidth="1"/>
    <col min="5867" max="5867" width="11.140625" style="33" customWidth="1"/>
    <col min="5868" max="5868" width="10.140625" style="33" customWidth="1"/>
    <col min="5869" max="5869" width="10.85546875" style="33" customWidth="1"/>
    <col min="5870" max="5870" width="12.42578125" style="33" customWidth="1"/>
    <col min="5871" max="6105" width="6.5703125" style="33"/>
    <col min="6106" max="6106" width="37.5703125" style="33" customWidth="1"/>
    <col min="6107" max="6107" width="10.5703125" style="33" customWidth="1"/>
    <col min="6108" max="6108" width="14.42578125" style="33" customWidth="1"/>
    <col min="6109" max="6109" width="8.5703125" style="33" customWidth="1"/>
    <col min="6110" max="6110" width="10.85546875" style="33" customWidth="1"/>
    <col min="6111" max="6111" width="13.140625" style="33" customWidth="1"/>
    <col min="6112" max="6112" width="10.140625" style="33" customWidth="1"/>
    <col min="6113" max="6113" width="11" style="33" customWidth="1"/>
    <col min="6114" max="6114" width="13.42578125" style="33" customWidth="1"/>
    <col min="6115" max="6115" width="9.5703125" style="33" customWidth="1"/>
    <col min="6116" max="6116" width="11" style="33" customWidth="1"/>
    <col min="6117" max="6117" width="13.5703125" style="33" customWidth="1"/>
    <col min="6118" max="6118" width="12.42578125" style="33" customWidth="1"/>
    <col min="6119" max="6119" width="14.5703125" style="33" customWidth="1"/>
    <col min="6120" max="6121" width="11.85546875" style="33" customWidth="1"/>
    <col min="6122" max="6122" width="14.5703125" style="33" customWidth="1"/>
    <col min="6123" max="6123" width="11.140625" style="33" customWidth="1"/>
    <col min="6124" max="6124" width="10.140625" style="33" customWidth="1"/>
    <col min="6125" max="6125" width="10.85546875" style="33" customWidth="1"/>
    <col min="6126" max="6126" width="12.42578125" style="33" customWidth="1"/>
    <col min="6127" max="6361" width="6.5703125" style="33"/>
    <col min="6362" max="6362" width="37.5703125" style="33" customWidth="1"/>
    <col min="6363" max="6363" width="10.5703125" style="33" customWidth="1"/>
    <col min="6364" max="6364" width="14.42578125" style="33" customWidth="1"/>
    <col min="6365" max="6365" width="8.5703125" style="33" customWidth="1"/>
    <col min="6366" max="6366" width="10.85546875" style="33" customWidth="1"/>
    <col min="6367" max="6367" width="13.140625" style="33" customWidth="1"/>
    <col min="6368" max="6368" width="10.140625" style="33" customWidth="1"/>
    <col min="6369" max="6369" width="11" style="33" customWidth="1"/>
    <col min="6370" max="6370" width="13.42578125" style="33" customWidth="1"/>
    <col min="6371" max="6371" width="9.5703125" style="33" customWidth="1"/>
    <col min="6372" max="6372" width="11" style="33" customWidth="1"/>
    <col min="6373" max="6373" width="13.5703125" style="33" customWidth="1"/>
    <col min="6374" max="6374" width="12.42578125" style="33" customWidth="1"/>
    <col min="6375" max="6375" width="14.5703125" style="33" customWidth="1"/>
    <col min="6376" max="6377" width="11.85546875" style="33" customWidth="1"/>
    <col min="6378" max="6378" width="14.5703125" style="33" customWidth="1"/>
    <col min="6379" max="6379" width="11.140625" style="33" customWidth="1"/>
    <col min="6380" max="6380" width="10.140625" style="33" customWidth="1"/>
    <col min="6381" max="6381" width="10.85546875" style="33" customWidth="1"/>
    <col min="6382" max="6382" width="12.42578125" style="33" customWidth="1"/>
    <col min="6383" max="6617" width="6.5703125" style="33"/>
    <col min="6618" max="6618" width="37.5703125" style="33" customWidth="1"/>
    <col min="6619" max="6619" width="10.5703125" style="33" customWidth="1"/>
    <col min="6620" max="6620" width="14.42578125" style="33" customWidth="1"/>
    <col min="6621" max="6621" width="8.5703125" style="33" customWidth="1"/>
    <col min="6622" max="6622" width="10.85546875" style="33" customWidth="1"/>
    <col min="6623" max="6623" width="13.140625" style="33" customWidth="1"/>
    <col min="6624" max="6624" width="10.140625" style="33" customWidth="1"/>
    <col min="6625" max="6625" width="11" style="33" customWidth="1"/>
    <col min="6626" max="6626" width="13.42578125" style="33" customWidth="1"/>
    <col min="6627" max="6627" width="9.5703125" style="33" customWidth="1"/>
    <col min="6628" max="6628" width="11" style="33" customWidth="1"/>
    <col min="6629" max="6629" width="13.5703125" style="33" customWidth="1"/>
    <col min="6630" max="6630" width="12.42578125" style="33" customWidth="1"/>
    <col min="6631" max="6631" width="14.5703125" style="33" customWidth="1"/>
    <col min="6632" max="6633" width="11.85546875" style="33" customWidth="1"/>
    <col min="6634" max="6634" width="14.5703125" style="33" customWidth="1"/>
    <col min="6635" max="6635" width="11.140625" style="33" customWidth="1"/>
    <col min="6636" max="6636" width="10.140625" style="33" customWidth="1"/>
    <col min="6637" max="6637" width="10.85546875" style="33" customWidth="1"/>
    <col min="6638" max="6638" width="12.42578125" style="33" customWidth="1"/>
    <col min="6639" max="6873" width="6.5703125" style="33"/>
    <col min="6874" max="6874" width="37.5703125" style="33" customWidth="1"/>
    <col min="6875" max="6875" width="10.5703125" style="33" customWidth="1"/>
    <col min="6876" max="6876" width="14.42578125" style="33" customWidth="1"/>
    <col min="6877" max="6877" width="8.5703125" style="33" customWidth="1"/>
    <col min="6878" max="6878" width="10.85546875" style="33" customWidth="1"/>
    <col min="6879" max="6879" width="13.140625" style="33" customWidth="1"/>
    <col min="6880" max="6880" width="10.140625" style="33" customWidth="1"/>
    <col min="6881" max="6881" width="11" style="33" customWidth="1"/>
    <col min="6882" max="6882" width="13.42578125" style="33" customWidth="1"/>
    <col min="6883" max="6883" width="9.5703125" style="33" customWidth="1"/>
    <col min="6884" max="6884" width="11" style="33" customWidth="1"/>
    <col min="6885" max="6885" width="13.5703125" style="33" customWidth="1"/>
    <col min="6886" max="6886" width="12.42578125" style="33" customWidth="1"/>
    <col min="6887" max="6887" width="14.5703125" style="33" customWidth="1"/>
    <col min="6888" max="6889" width="11.85546875" style="33" customWidth="1"/>
    <col min="6890" max="6890" width="14.5703125" style="33" customWidth="1"/>
    <col min="6891" max="6891" width="11.140625" style="33" customWidth="1"/>
    <col min="6892" max="6892" width="10.140625" style="33" customWidth="1"/>
    <col min="6893" max="6893" width="10.85546875" style="33" customWidth="1"/>
    <col min="6894" max="6894" width="12.42578125" style="33" customWidth="1"/>
    <col min="6895" max="7129" width="6.5703125" style="33"/>
    <col min="7130" max="7130" width="37.5703125" style="33" customWidth="1"/>
    <col min="7131" max="7131" width="10.5703125" style="33" customWidth="1"/>
    <col min="7132" max="7132" width="14.42578125" style="33" customWidth="1"/>
    <col min="7133" max="7133" width="8.5703125" style="33" customWidth="1"/>
    <col min="7134" max="7134" width="10.85546875" style="33" customWidth="1"/>
    <col min="7135" max="7135" width="13.140625" style="33" customWidth="1"/>
    <col min="7136" max="7136" width="10.140625" style="33" customWidth="1"/>
    <col min="7137" max="7137" width="11" style="33" customWidth="1"/>
    <col min="7138" max="7138" width="13.42578125" style="33" customWidth="1"/>
    <col min="7139" max="7139" width="9.5703125" style="33" customWidth="1"/>
    <col min="7140" max="7140" width="11" style="33" customWidth="1"/>
    <col min="7141" max="7141" width="13.5703125" style="33" customWidth="1"/>
    <col min="7142" max="7142" width="12.42578125" style="33" customWidth="1"/>
    <col min="7143" max="7143" width="14.5703125" style="33" customWidth="1"/>
    <col min="7144" max="7145" width="11.85546875" style="33" customWidth="1"/>
    <col min="7146" max="7146" width="14.5703125" style="33" customWidth="1"/>
    <col min="7147" max="7147" width="11.140625" style="33" customWidth="1"/>
    <col min="7148" max="7148" width="10.140625" style="33" customWidth="1"/>
    <col min="7149" max="7149" width="10.85546875" style="33" customWidth="1"/>
    <col min="7150" max="7150" width="12.42578125" style="33" customWidth="1"/>
    <col min="7151" max="7385" width="6.5703125" style="33"/>
    <col min="7386" max="7386" width="37.5703125" style="33" customWidth="1"/>
    <col min="7387" max="7387" width="10.5703125" style="33" customWidth="1"/>
    <col min="7388" max="7388" width="14.42578125" style="33" customWidth="1"/>
    <col min="7389" max="7389" width="8.5703125" style="33" customWidth="1"/>
    <col min="7390" max="7390" width="10.85546875" style="33" customWidth="1"/>
    <col min="7391" max="7391" width="13.140625" style="33" customWidth="1"/>
    <col min="7392" max="7392" width="10.140625" style="33" customWidth="1"/>
    <col min="7393" max="7393" width="11" style="33" customWidth="1"/>
    <col min="7394" max="7394" width="13.42578125" style="33" customWidth="1"/>
    <col min="7395" max="7395" width="9.5703125" style="33" customWidth="1"/>
    <col min="7396" max="7396" width="11" style="33" customWidth="1"/>
    <col min="7397" max="7397" width="13.5703125" style="33" customWidth="1"/>
    <col min="7398" max="7398" width="12.42578125" style="33" customWidth="1"/>
    <col min="7399" max="7399" width="14.5703125" style="33" customWidth="1"/>
    <col min="7400" max="7401" width="11.85546875" style="33" customWidth="1"/>
    <col min="7402" max="7402" width="14.5703125" style="33" customWidth="1"/>
    <col min="7403" max="7403" width="11.140625" style="33" customWidth="1"/>
    <col min="7404" max="7404" width="10.140625" style="33" customWidth="1"/>
    <col min="7405" max="7405" width="10.85546875" style="33" customWidth="1"/>
    <col min="7406" max="7406" width="12.42578125" style="33" customWidth="1"/>
    <col min="7407" max="7641" width="6.5703125" style="33"/>
    <col min="7642" max="7642" width="37.5703125" style="33" customWidth="1"/>
    <col min="7643" max="7643" width="10.5703125" style="33" customWidth="1"/>
    <col min="7644" max="7644" width="14.42578125" style="33" customWidth="1"/>
    <col min="7645" max="7645" width="8.5703125" style="33" customWidth="1"/>
    <col min="7646" max="7646" width="10.85546875" style="33" customWidth="1"/>
    <col min="7647" max="7647" width="13.140625" style="33" customWidth="1"/>
    <col min="7648" max="7648" width="10.140625" style="33" customWidth="1"/>
    <col min="7649" max="7649" width="11" style="33" customWidth="1"/>
    <col min="7650" max="7650" width="13.42578125" style="33" customWidth="1"/>
    <col min="7651" max="7651" width="9.5703125" style="33" customWidth="1"/>
    <col min="7652" max="7652" width="11" style="33" customWidth="1"/>
    <col min="7653" max="7653" width="13.5703125" style="33" customWidth="1"/>
    <col min="7654" max="7654" width="12.42578125" style="33" customWidth="1"/>
    <col min="7655" max="7655" width="14.5703125" style="33" customWidth="1"/>
    <col min="7656" max="7657" width="11.85546875" style="33" customWidth="1"/>
    <col min="7658" max="7658" width="14.5703125" style="33" customWidth="1"/>
    <col min="7659" max="7659" width="11.140625" style="33" customWidth="1"/>
    <col min="7660" max="7660" width="10.140625" style="33" customWidth="1"/>
    <col min="7661" max="7661" width="10.85546875" style="33" customWidth="1"/>
    <col min="7662" max="7662" width="12.42578125" style="33" customWidth="1"/>
    <col min="7663" max="7897" width="6.5703125" style="33"/>
    <col min="7898" max="7898" width="37.5703125" style="33" customWidth="1"/>
    <col min="7899" max="7899" width="10.5703125" style="33" customWidth="1"/>
    <col min="7900" max="7900" width="14.42578125" style="33" customWidth="1"/>
    <col min="7901" max="7901" width="8.5703125" style="33" customWidth="1"/>
    <col min="7902" max="7902" width="10.85546875" style="33" customWidth="1"/>
    <col min="7903" max="7903" width="13.140625" style="33" customWidth="1"/>
    <col min="7904" max="7904" width="10.140625" style="33" customWidth="1"/>
    <col min="7905" max="7905" width="11" style="33" customWidth="1"/>
    <col min="7906" max="7906" width="13.42578125" style="33" customWidth="1"/>
    <col min="7907" max="7907" width="9.5703125" style="33" customWidth="1"/>
    <col min="7908" max="7908" width="11" style="33" customWidth="1"/>
    <col min="7909" max="7909" width="13.5703125" style="33" customWidth="1"/>
    <col min="7910" max="7910" width="12.42578125" style="33" customWidth="1"/>
    <col min="7911" max="7911" width="14.5703125" style="33" customWidth="1"/>
    <col min="7912" max="7913" width="11.85546875" style="33" customWidth="1"/>
    <col min="7914" max="7914" width="14.5703125" style="33" customWidth="1"/>
    <col min="7915" max="7915" width="11.140625" style="33" customWidth="1"/>
    <col min="7916" max="7916" width="10.140625" style="33" customWidth="1"/>
    <col min="7917" max="7917" width="10.85546875" style="33" customWidth="1"/>
    <col min="7918" max="7918" width="12.42578125" style="33" customWidth="1"/>
    <col min="7919" max="8153" width="6.5703125" style="33"/>
    <col min="8154" max="8154" width="37.5703125" style="33" customWidth="1"/>
    <col min="8155" max="8155" width="10.5703125" style="33" customWidth="1"/>
    <col min="8156" max="8156" width="14.42578125" style="33" customWidth="1"/>
    <col min="8157" max="8157" width="8.5703125" style="33" customWidth="1"/>
    <col min="8158" max="8158" width="10.85546875" style="33" customWidth="1"/>
    <col min="8159" max="8159" width="13.140625" style="33" customWidth="1"/>
    <col min="8160" max="8160" width="10.140625" style="33" customWidth="1"/>
    <col min="8161" max="8161" width="11" style="33" customWidth="1"/>
    <col min="8162" max="8162" width="13.42578125" style="33" customWidth="1"/>
    <col min="8163" max="8163" width="9.5703125" style="33" customWidth="1"/>
    <col min="8164" max="8164" width="11" style="33" customWidth="1"/>
    <col min="8165" max="8165" width="13.5703125" style="33" customWidth="1"/>
    <col min="8166" max="8166" width="12.42578125" style="33" customWidth="1"/>
    <col min="8167" max="8167" width="14.5703125" style="33" customWidth="1"/>
    <col min="8168" max="8169" width="11.85546875" style="33" customWidth="1"/>
    <col min="8170" max="8170" width="14.5703125" style="33" customWidth="1"/>
    <col min="8171" max="8171" width="11.140625" style="33" customWidth="1"/>
    <col min="8172" max="8172" width="10.140625" style="33" customWidth="1"/>
    <col min="8173" max="8173" width="10.85546875" style="33" customWidth="1"/>
    <col min="8174" max="8174" width="12.42578125" style="33" customWidth="1"/>
    <col min="8175" max="8409" width="6.5703125" style="33"/>
    <col min="8410" max="8410" width="37.5703125" style="33" customWidth="1"/>
    <col min="8411" max="8411" width="10.5703125" style="33" customWidth="1"/>
    <col min="8412" max="8412" width="14.42578125" style="33" customWidth="1"/>
    <col min="8413" max="8413" width="8.5703125" style="33" customWidth="1"/>
    <col min="8414" max="8414" width="10.85546875" style="33" customWidth="1"/>
    <col min="8415" max="8415" width="13.140625" style="33" customWidth="1"/>
    <col min="8416" max="8416" width="10.140625" style="33" customWidth="1"/>
    <col min="8417" max="8417" width="11" style="33" customWidth="1"/>
    <col min="8418" max="8418" width="13.42578125" style="33" customWidth="1"/>
    <col min="8419" max="8419" width="9.5703125" style="33" customWidth="1"/>
    <col min="8420" max="8420" width="11" style="33" customWidth="1"/>
    <col min="8421" max="8421" width="13.5703125" style="33" customWidth="1"/>
    <col min="8422" max="8422" width="12.42578125" style="33" customWidth="1"/>
    <col min="8423" max="8423" width="14.5703125" style="33" customWidth="1"/>
    <col min="8424" max="8425" width="11.85546875" style="33" customWidth="1"/>
    <col min="8426" max="8426" width="14.5703125" style="33" customWidth="1"/>
    <col min="8427" max="8427" width="11.140625" style="33" customWidth="1"/>
    <col min="8428" max="8428" width="10.140625" style="33" customWidth="1"/>
    <col min="8429" max="8429" width="10.85546875" style="33" customWidth="1"/>
    <col min="8430" max="8430" width="12.42578125" style="33" customWidth="1"/>
    <col min="8431" max="8665" width="6.5703125" style="33"/>
    <col min="8666" max="8666" width="37.5703125" style="33" customWidth="1"/>
    <col min="8667" max="8667" width="10.5703125" style="33" customWidth="1"/>
    <col min="8668" max="8668" width="14.42578125" style="33" customWidth="1"/>
    <col min="8669" max="8669" width="8.5703125" style="33" customWidth="1"/>
    <col min="8670" max="8670" width="10.85546875" style="33" customWidth="1"/>
    <col min="8671" max="8671" width="13.140625" style="33" customWidth="1"/>
    <col min="8672" max="8672" width="10.140625" style="33" customWidth="1"/>
    <col min="8673" max="8673" width="11" style="33" customWidth="1"/>
    <col min="8674" max="8674" width="13.42578125" style="33" customWidth="1"/>
    <col min="8675" max="8675" width="9.5703125" style="33" customWidth="1"/>
    <col min="8676" max="8676" width="11" style="33" customWidth="1"/>
    <col min="8677" max="8677" width="13.5703125" style="33" customWidth="1"/>
    <col min="8678" max="8678" width="12.42578125" style="33" customWidth="1"/>
    <col min="8679" max="8679" width="14.5703125" style="33" customWidth="1"/>
    <col min="8680" max="8681" width="11.85546875" style="33" customWidth="1"/>
    <col min="8682" max="8682" width="14.5703125" style="33" customWidth="1"/>
    <col min="8683" max="8683" width="11.140625" style="33" customWidth="1"/>
    <col min="8684" max="8684" width="10.140625" style="33" customWidth="1"/>
    <col min="8685" max="8685" width="10.85546875" style="33" customWidth="1"/>
    <col min="8686" max="8686" width="12.42578125" style="33" customWidth="1"/>
    <col min="8687" max="8921" width="6.5703125" style="33"/>
    <col min="8922" max="8922" width="37.5703125" style="33" customWidth="1"/>
    <col min="8923" max="8923" width="10.5703125" style="33" customWidth="1"/>
    <col min="8924" max="8924" width="14.42578125" style="33" customWidth="1"/>
    <col min="8925" max="8925" width="8.5703125" style="33" customWidth="1"/>
    <col min="8926" max="8926" width="10.85546875" style="33" customWidth="1"/>
    <col min="8927" max="8927" width="13.140625" style="33" customWidth="1"/>
    <col min="8928" max="8928" width="10.140625" style="33" customWidth="1"/>
    <col min="8929" max="8929" width="11" style="33" customWidth="1"/>
    <col min="8930" max="8930" width="13.42578125" style="33" customWidth="1"/>
    <col min="8931" max="8931" width="9.5703125" style="33" customWidth="1"/>
    <col min="8932" max="8932" width="11" style="33" customWidth="1"/>
    <col min="8933" max="8933" width="13.5703125" style="33" customWidth="1"/>
    <col min="8934" max="8934" width="12.42578125" style="33" customWidth="1"/>
    <col min="8935" max="8935" width="14.5703125" style="33" customWidth="1"/>
    <col min="8936" max="8937" width="11.85546875" style="33" customWidth="1"/>
    <col min="8938" max="8938" width="14.5703125" style="33" customWidth="1"/>
    <col min="8939" max="8939" width="11.140625" style="33" customWidth="1"/>
    <col min="8940" max="8940" width="10.140625" style="33" customWidth="1"/>
    <col min="8941" max="8941" width="10.85546875" style="33" customWidth="1"/>
    <col min="8942" max="8942" width="12.42578125" style="33" customWidth="1"/>
    <col min="8943" max="9177" width="6.5703125" style="33"/>
    <col min="9178" max="9178" width="37.5703125" style="33" customWidth="1"/>
    <col min="9179" max="9179" width="10.5703125" style="33" customWidth="1"/>
    <col min="9180" max="9180" width="14.42578125" style="33" customWidth="1"/>
    <col min="9181" max="9181" width="8.5703125" style="33" customWidth="1"/>
    <col min="9182" max="9182" width="10.85546875" style="33" customWidth="1"/>
    <col min="9183" max="9183" width="13.140625" style="33" customWidth="1"/>
    <col min="9184" max="9184" width="10.140625" style="33" customWidth="1"/>
    <col min="9185" max="9185" width="11" style="33" customWidth="1"/>
    <col min="9186" max="9186" width="13.42578125" style="33" customWidth="1"/>
    <col min="9187" max="9187" width="9.5703125" style="33" customWidth="1"/>
    <col min="9188" max="9188" width="11" style="33" customWidth="1"/>
    <col min="9189" max="9189" width="13.5703125" style="33" customWidth="1"/>
    <col min="9190" max="9190" width="12.42578125" style="33" customWidth="1"/>
    <col min="9191" max="9191" width="14.5703125" style="33" customWidth="1"/>
    <col min="9192" max="9193" width="11.85546875" style="33" customWidth="1"/>
    <col min="9194" max="9194" width="14.5703125" style="33" customWidth="1"/>
    <col min="9195" max="9195" width="11.140625" style="33" customWidth="1"/>
    <col min="9196" max="9196" width="10.140625" style="33" customWidth="1"/>
    <col min="9197" max="9197" width="10.85546875" style="33" customWidth="1"/>
    <col min="9198" max="9198" width="12.42578125" style="33" customWidth="1"/>
    <col min="9199" max="9433" width="6.5703125" style="33"/>
    <col min="9434" max="9434" width="37.5703125" style="33" customWidth="1"/>
    <col min="9435" max="9435" width="10.5703125" style="33" customWidth="1"/>
    <col min="9436" max="9436" width="14.42578125" style="33" customWidth="1"/>
    <col min="9437" max="9437" width="8.5703125" style="33" customWidth="1"/>
    <col min="9438" max="9438" width="10.85546875" style="33" customWidth="1"/>
    <col min="9439" max="9439" width="13.140625" style="33" customWidth="1"/>
    <col min="9440" max="9440" width="10.140625" style="33" customWidth="1"/>
    <col min="9441" max="9441" width="11" style="33" customWidth="1"/>
    <col min="9442" max="9442" width="13.42578125" style="33" customWidth="1"/>
    <col min="9443" max="9443" width="9.5703125" style="33" customWidth="1"/>
    <col min="9444" max="9444" width="11" style="33" customWidth="1"/>
    <col min="9445" max="9445" width="13.5703125" style="33" customWidth="1"/>
    <col min="9446" max="9446" width="12.42578125" style="33" customWidth="1"/>
    <col min="9447" max="9447" width="14.5703125" style="33" customWidth="1"/>
    <col min="9448" max="9449" width="11.85546875" style="33" customWidth="1"/>
    <col min="9450" max="9450" width="14.5703125" style="33" customWidth="1"/>
    <col min="9451" max="9451" width="11.140625" style="33" customWidth="1"/>
    <col min="9452" max="9452" width="10.140625" style="33" customWidth="1"/>
    <col min="9453" max="9453" width="10.85546875" style="33" customWidth="1"/>
    <col min="9454" max="9454" width="12.42578125" style="33" customWidth="1"/>
    <col min="9455" max="9689" width="6.5703125" style="33"/>
    <col min="9690" max="9690" width="37.5703125" style="33" customWidth="1"/>
    <col min="9691" max="9691" width="10.5703125" style="33" customWidth="1"/>
    <col min="9692" max="9692" width="14.42578125" style="33" customWidth="1"/>
    <col min="9693" max="9693" width="8.5703125" style="33" customWidth="1"/>
    <col min="9694" max="9694" width="10.85546875" style="33" customWidth="1"/>
    <col min="9695" max="9695" width="13.140625" style="33" customWidth="1"/>
    <col min="9696" max="9696" width="10.140625" style="33" customWidth="1"/>
    <col min="9697" max="9697" width="11" style="33" customWidth="1"/>
    <col min="9698" max="9698" width="13.42578125" style="33" customWidth="1"/>
    <col min="9699" max="9699" width="9.5703125" style="33" customWidth="1"/>
    <col min="9700" max="9700" width="11" style="33" customWidth="1"/>
    <col min="9701" max="9701" width="13.5703125" style="33" customWidth="1"/>
    <col min="9702" max="9702" width="12.42578125" style="33" customWidth="1"/>
    <col min="9703" max="9703" width="14.5703125" style="33" customWidth="1"/>
    <col min="9704" max="9705" width="11.85546875" style="33" customWidth="1"/>
    <col min="9706" max="9706" width="14.5703125" style="33" customWidth="1"/>
    <col min="9707" max="9707" width="11.140625" style="33" customWidth="1"/>
    <col min="9708" max="9708" width="10.140625" style="33" customWidth="1"/>
    <col min="9709" max="9709" width="10.85546875" style="33" customWidth="1"/>
    <col min="9710" max="9710" width="12.42578125" style="33" customWidth="1"/>
    <col min="9711" max="9945" width="6.5703125" style="33"/>
    <col min="9946" max="9946" width="37.5703125" style="33" customWidth="1"/>
    <col min="9947" max="9947" width="10.5703125" style="33" customWidth="1"/>
    <col min="9948" max="9948" width="14.42578125" style="33" customWidth="1"/>
    <col min="9949" max="9949" width="8.5703125" style="33" customWidth="1"/>
    <col min="9950" max="9950" width="10.85546875" style="33" customWidth="1"/>
    <col min="9951" max="9951" width="13.140625" style="33" customWidth="1"/>
    <col min="9952" max="9952" width="10.140625" style="33" customWidth="1"/>
    <col min="9953" max="9953" width="11" style="33" customWidth="1"/>
    <col min="9954" max="9954" width="13.42578125" style="33" customWidth="1"/>
    <col min="9955" max="9955" width="9.5703125" style="33" customWidth="1"/>
    <col min="9956" max="9956" width="11" style="33" customWidth="1"/>
    <col min="9957" max="9957" width="13.5703125" style="33" customWidth="1"/>
    <col min="9958" max="9958" width="12.42578125" style="33" customWidth="1"/>
    <col min="9959" max="9959" width="14.5703125" style="33" customWidth="1"/>
    <col min="9960" max="9961" width="11.85546875" style="33" customWidth="1"/>
    <col min="9962" max="9962" width="14.5703125" style="33" customWidth="1"/>
    <col min="9963" max="9963" width="11.140625" style="33" customWidth="1"/>
    <col min="9964" max="9964" width="10.140625" style="33" customWidth="1"/>
    <col min="9965" max="9965" width="10.85546875" style="33" customWidth="1"/>
    <col min="9966" max="9966" width="12.42578125" style="33" customWidth="1"/>
    <col min="9967" max="10201" width="6.5703125" style="33"/>
    <col min="10202" max="10202" width="37.5703125" style="33" customWidth="1"/>
    <col min="10203" max="10203" width="10.5703125" style="33" customWidth="1"/>
    <col min="10204" max="10204" width="14.42578125" style="33" customWidth="1"/>
    <col min="10205" max="10205" width="8.5703125" style="33" customWidth="1"/>
    <col min="10206" max="10206" width="10.85546875" style="33" customWidth="1"/>
    <col min="10207" max="10207" width="13.140625" style="33" customWidth="1"/>
    <col min="10208" max="10208" width="10.140625" style="33" customWidth="1"/>
    <col min="10209" max="10209" width="11" style="33" customWidth="1"/>
    <col min="10210" max="10210" width="13.42578125" style="33" customWidth="1"/>
    <col min="10211" max="10211" width="9.5703125" style="33" customWidth="1"/>
    <col min="10212" max="10212" width="11" style="33" customWidth="1"/>
    <col min="10213" max="10213" width="13.5703125" style="33" customWidth="1"/>
    <col min="10214" max="10214" width="12.42578125" style="33" customWidth="1"/>
    <col min="10215" max="10215" width="14.5703125" style="33" customWidth="1"/>
    <col min="10216" max="10217" width="11.85546875" style="33" customWidth="1"/>
    <col min="10218" max="10218" width="14.5703125" style="33" customWidth="1"/>
    <col min="10219" max="10219" width="11.140625" style="33" customWidth="1"/>
    <col min="10220" max="10220" width="10.140625" style="33" customWidth="1"/>
    <col min="10221" max="10221" width="10.85546875" style="33" customWidth="1"/>
    <col min="10222" max="10222" width="12.42578125" style="33" customWidth="1"/>
    <col min="10223" max="10457" width="6.5703125" style="33"/>
    <col min="10458" max="10458" width="37.5703125" style="33" customWidth="1"/>
    <col min="10459" max="10459" width="10.5703125" style="33" customWidth="1"/>
    <col min="10460" max="10460" width="14.42578125" style="33" customWidth="1"/>
    <col min="10461" max="10461" width="8.5703125" style="33" customWidth="1"/>
    <col min="10462" max="10462" width="10.85546875" style="33" customWidth="1"/>
    <col min="10463" max="10463" width="13.140625" style="33" customWidth="1"/>
    <col min="10464" max="10464" width="10.140625" style="33" customWidth="1"/>
    <col min="10465" max="10465" width="11" style="33" customWidth="1"/>
    <col min="10466" max="10466" width="13.42578125" style="33" customWidth="1"/>
    <col min="10467" max="10467" width="9.5703125" style="33" customWidth="1"/>
    <col min="10468" max="10468" width="11" style="33" customWidth="1"/>
    <col min="10469" max="10469" width="13.5703125" style="33" customWidth="1"/>
    <col min="10470" max="10470" width="12.42578125" style="33" customWidth="1"/>
    <col min="10471" max="10471" width="14.5703125" style="33" customWidth="1"/>
    <col min="10472" max="10473" width="11.85546875" style="33" customWidth="1"/>
    <col min="10474" max="10474" width="14.5703125" style="33" customWidth="1"/>
    <col min="10475" max="10475" width="11.140625" style="33" customWidth="1"/>
    <col min="10476" max="10476" width="10.140625" style="33" customWidth="1"/>
    <col min="10477" max="10477" width="10.85546875" style="33" customWidth="1"/>
    <col min="10478" max="10478" width="12.42578125" style="33" customWidth="1"/>
    <col min="10479" max="10713" width="6.5703125" style="33"/>
    <col min="10714" max="10714" width="37.5703125" style="33" customWidth="1"/>
    <col min="10715" max="10715" width="10.5703125" style="33" customWidth="1"/>
    <col min="10716" max="10716" width="14.42578125" style="33" customWidth="1"/>
    <col min="10717" max="10717" width="8.5703125" style="33" customWidth="1"/>
    <col min="10718" max="10718" width="10.85546875" style="33" customWidth="1"/>
    <col min="10719" max="10719" width="13.140625" style="33" customWidth="1"/>
    <col min="10720" max="10720" width="10.140625" style="33" customWidth="1"/>
    <col min="10721" max="10721" width="11" style="33" customWidth="1"/>
    <col min="10722" max="10722" width="13.42578125" style="33" customWidth="1"/>
    <col min="10723" max="10723" width="9.5703125" style="33" customWidth="1"/>
    <col min="10724" max="10724" width="11" style="33" customWidth="1"/>
    <col min="10725" max="10725" width="13.5703125" style="33" customWidth="1"/>
    <col min="10726" max="10726" width="12.42578125" style="33" customWidth="1"/>
    <col min="10727" max="10727" width="14.5703125" style="33" customWidth="1"/>
    <col min="10728" max="10729" width="11.85546875" style="33" customWidth="1"/>
    <col min="10730" max="10730" width="14.5703125" style="33" customWidth="1"/>
    <col min="10731" max="10731" width="11.140625" style="33" customWidth="1"/>
    <col min="10732" max="10732" width="10.140625" style="33" customWidth="1"/>
    <col min="10733" max="10733" width="10.85546875" style="33" customWidth="1"/>
    <col min="10734" max="10734" width="12.42578125" style="33" customWidth="1"/>
    <col min="10735" max="10969" width="6.5703125" style="33"/>
    <col min="10970" max="10970" width="37.5703125" style="33" customWidth="1"/>
    <col min="10971" max="10971" width="10.5703125" style="33" customWidth="1"/>
    <col min="10972" max="10972" width="14.42578125" style="33" customWidth="1"/>
    <col min="10973" max="10973" width="8.5703125" style="33" customWidth="1"/>
    <col min="10974" max="10974" width="10.85546875" style="33" customWidth="1"/>
    <col min="10975" max="10975" width="13.140625" style="33" customWidth="1"/>
    <col min="10976" max="10976" width="10.140625" style="33" customWidth="1"/>
    <col min="10977" max="10977" width="11" style="33" customWidth="1"/>
    <col min="10978" max="10978" width="13.42578125" style="33" customWidth="1"/>
    <col min="10979" max="10979" width="9.5703125" style="33" customWidth="1"/>
    <col min="10980" max="10980" width="11" style="33" customWidth="1"/>
    <col min="10981" max="10981" width="13.5703125" style="33" customWidth="1"/>
    <col min="10982" max="10982" width="12.42578125" style="33" customWidth="1"/>
    <col min="10983" max="10983" width="14.5703125" style="33" customWidth="1"/>
    <col min="10984" max="10985" width="11.85546875" style="33" customWidth="1"/>
    <col min="10986" max="10986" width="14.5703125" style="33" customWidth="1"/>
    <col min="10987" max="10987" width="11.140625" style="33" customWidth="1"/>
    <col min="10988" max="10988" width="10.140625" style="33" customWidth="1"/>
    <col min="10989" max="10989" width="10.85546875" style="33" customWidth="1"/>
    <col min="10990" max="10990" width="12.42578125" style="33" customWidth="1"/>
    <col min="10991" max="11225" width="6.5703125" style="33"/>
    <col min="11226" max="11226" width="37.5703125" style="33" customWidth="1"/>
    <col min="11227" max="11227" width="10.5703125" style="33" customWidth="1"/>
    <col min="11228" max="11228" width="14.42578125" style="33" customWidth="1"/>
    <col min="11229" max="11229" width="8.5703125" style="33" customWidth="1"/>
    <col min="11230" max="11230" width="10.85546875" style="33" customWidth="1"/>
    <col min="11231" max="11231" width="13.140625" style="33" customWidth="1"/>
    <col min="11232" max="11232" width="10.140625" style="33" customWidth="1"/>
    <col min="11233" max="11233" width="11" style="33" customWidth="1"/>
    <col min="11234" max="11234" width="13.42578125" style="33" customWidth="1"/>
    <col min="11235" max="11235" width="9.5703125" style="33" customWidth="1"/>
    <col min="11236" max="11236" width="11" style="33" customWidth="1"/>
    <col min="11237" max="11237" width="13.5703125" style="33" customWidth="1"/>
    <col min="11238" max="11238" width="12.42578125" style="33" customWidth="1"/>
    <col min="11239" max="11239" width="14.5703125" style="33" customWidth="1"/>
    <col min="11240" max="11241" width="11.85546875" style="33" customWidth="1"/>
    <col min="11242" max="11242" width="14.5703125" style="33" customWidth="1"/>
    <col min="11243" max="11243" width="11.140625" style="33" customWidth="1"/>
    <col min="11244" max="11244" width="10.140625" style="33" customWidth="1"/>
    <col min="11245" max="11245" width="10.85546875" style="33" customWidth="1"/>
    <col min="11246" max="11246" width="12.42578125" style="33" customWidth="1"/>
    <col min="11247" max="11481" width="6.5703125" style="33"/>
    <col min="11482" max="11482" width="37.5703125" style="33" customWidth="1"/>
    <col min="11483" max="11483" width="10.5703125" style="33" customWidth="1"/>
    <col min="11484" max="11484" width="14.42578125" style="33" customWidth="1"/>
    <col min="11485" max="11485" width="8.5703125" style="33" customWidth="1"/>
    <col min="11486" max="11486" width="10.85546875" style="33" customWidth="1"/>
    <col min="11487" max="11487" width="13.140625" style="33" customWidth="1"/>
    <col min="11488" max="11488" width="10.140625" style="33" customWidth="1"/>
    <col min="11489" max="11489" width="11" style="33" customWidth="1"/>
    <col min="11490" max="11490" width="13.42578125" style="33" customWidth="1"/>
    <col min="11491" max="11491" width="9.5703125" style="33" customWidth="1"/>
    <col min="11492" max="11492" width="11" style="33" customWidth="1"/>
    <col min="11493" max="11493" width="13.5703125" style="33" customWidth="1"/>
    <col min="11494" max="11494" width="12.42578125" style="33" customWidth="1"/>
    <col min="11495" max="11495" width="14.5703125" style="33" customWidth="1"/>
    <col min="11496" max="11497" width="11.85546875" style="33" customWidth="1"/>
    <col min="11498" max="11498" width="14.5703125" style="33" customWidth="1"/>
    <col min="11499" max="11499" width="11.140625" style="33" customWidth="1"/>
    <col min="11500" max="11500" width="10.140625" style="33" customWidth="1"/>
    <col min="11501" max="11501" width="10.85546875" style="33" customWidth="1"/>
    <col min="11502" max="11502" width="12.42578125" style="33" customWidth="1"/>
    <col min="11503" max="11737" width="6.5703125" style="33"/>
    <col min="11738" max="11738" width="37.5703125" style="33" customWidth="1"/>
    <col min="11739" max="11739" width="10.5703125" style="33" customWidth="1"/>
    <col min="11740" max="11740" width="14.42578125" style="33" customWidth="1"/>
    <col min="11741" max="11741" width="8.5703125" style="33" customWidth="1"/>
    <col min="11742" max="11742" width="10.85546875" style="33" customWidth="1"/>
    <col min="11743" max="11743" width="13.140625" style="33" customWidth="1"/>
    <col min="11744" max="11744" width="10.140625" style="33" customWidth="1"/>
    <col min="11745" max="11745" width="11" style="33" customWidth="1"/>
    <col min="11746" max="11746" width="13.42578125" style="33" customWidth="1"/>
    <col min="11747" max="11747" width="9.5703125" style="33" customWidth="1"/>
    <col min="11748" max="11748" width="11" style="33" customWidth="1"/>
    <col min="11749" max="11749" width="13.5703125" style="33" customWidth="1"/>
    <col min="11750" max="11750" width="12.42578125" style="33" customWidth="1"/>
    <col min="11751" max="11751" width="14.5703125" style="33" customWidth="1"/>
    <col min="11752" max="11753" width="11.85546875" style="33" customWidth="1"/>
    <col min="11754" max="11754" width="14.5703125" style="33" customWidth="1"/>
    <col min="11755" max="11755" width="11.140625" style="33" customWidth="1"/>
    <col min="11756" max="11756" width="10.140625" style="33" customWidth="1"/>
    <col min="11757" max="11757" width="10.85546875" style="33" customWidth="1"/>
    <col min="11758" max="11758" width="12.42578125" style="33" customWidth="1"/>
    <col min="11759" max="11993" width="6.5703125" style="33"/>
    <col min="11994" max="11994" width="37.5703125" style="33" customWidth="1"/>
    <col min="11995" max="11995" width="10.5703125" style="33" customWidth="1"/>
    <col min="11996" max="11996" width="14.42578125" style="33" customWidth="1"/>
    <col min="11997" max="11997" width="8.5703125" style="33" customWidth="1"/>
    <col min="11998" max="11998" width="10.85546875" style="33" customWidth="1"/>
    <col min="11999" max="11999" width="13.140625" style="33" customWidth="1"/>
    <col min="12000" max="12000" width="10.140625" style="33" customWidth="1"/>
    <col min="12001" max="12001" width="11" style="33" customWidth="1"/>
    <col min="12002" max="12002" width="13.42578125" style="33" customWidth="1"/>
    <col min="12003" max="12003" width="9.5703125" style="33" customWidth="1"/>
    <col min="12004" max="12004" width="11" style="33" customWidth="1"/>
    <col min="12005" max="12005" width="13.5703125" style="33" customWidth="1"/>
    <col min="12006" max="12006" width="12.42578125" style="33" customWidth="1"/>
    <col min="12007" max="12007" width="14.5703125" style="33" customWidth="1"/>
    <col min="12008" max="12009" width="11.85546875" style="33" customWidth="1"/>
    <col min="12010" max="12010" width="14.5703125" style="33" customWidth="1"/>
    <col min="12011" max="12011" width="11.140625" style="33" customWidth="1"/>
    <col min="12012" max="12012" width="10.140625" style="33" customWidth="1"/>
    <col min="12013" max="12013" width="10.85546875" style="33" customWidth="1"/>
    <col min="12014" max="12014" width="12.42578125" style="33" customWidth="1"/>
    <col min="12015" max="12249" width="6.5703125" style="33"/>
    <col min="12250" max="12250" width="37.5703125" style="33" customWidth="1"/>
    <col min="12251" max="12251" width="10.5703125" style="33" customWidth="1"/>
    <col min="12252" max="12252" width="14.42578125" style="33" customWidth="1"/>
    <col min="12253" max="12253" width="8.5703125" style="33" customWidth="1"/>
    <col min="12254" max="12254" width="10.85546875" style="33" customWidth="1"/>
    <col min="12255" max="12255" width="13.140625" style="33" customWidth="1"/>
    <col min="12256" max="12256" width="10.140625" style="33" customWidth="1"/>
    <col min="12257" max="12257" width="11" style="33" customWidth="1"/>
    <col min="12258" max="12258" width="13.42578125" style="33" customWidth="1"/>
    <col min="12259" max="12259" width="9.5703125" style="33" customWidth="1"/>
    <col min="12260" max="12260" width="11" style="33" customWidth="1"/>
    <col min="12261" max="12261" width="13.5703125" style="33" customWidth="1"/>
    <col min="12262" max="12262" width="12.42578125" style="33" customWidth="1"/>
    <col min="12263" max="12263" width="14.5703125" style="33" customWidth="1"/>
    <col min="12264" max="12265" width="11.85546875" style="33" customWidth="1"/>
    <col min="12266" max="12266" width="14.5703125" style="33" customWidth="1"/>
    <col min="12267" max="12267" width="11.140625" style="33" customWidth="1"/>
    <col min="12268" max="12268" width="10.140625" style="33" customWidth="1"/>
    <col min="12269" max="12269" width="10.85546875" style="33" customWidth="1"/>
    <col min="12270" max="12270" width="12.42578125" style="33" customWidth="1"/>
    <col min="12271" max="12505" width="6.5703125" style="33"/>
    <col min="12506" max="12506" width="37.5703125" style="33" customWidth="1"/>
    <col min="12507" max="12507" width="10.5703125" style="33" customWidth="1"/>
    <col min="12508" max="12508" width="14.42578125" style="33" customWidth="1"/>
    <col min="12509" max="12509" width="8.5703125" style="33" customWidth="1"/>
    <col min="12510" max="12510" width="10.85546875" style="33" customWidth="1"/>
    <col min="12511" max="12511" width="13.140625" style="33" customWidth="1"/>
    <col min="12512" max="12512" width="10.140625" style="33" customWidth="1"/>
    <col min="12513" max="12513" width="11" style="33" customWidth="1"/>
    <col min="12514" max="12514" width="13.42578125" style="33" customWidth="1"/>
    <col min="12515" max="12515" width="9.5703125" style="33" customWidth="1"/>
    <col min="12516" max="12516" width="11" style="33" customWidth="1"/>
    <col min="12517" max="12517" width="13.5703125" style="33" customWidth="1"/>
    <col min="12518" max="12518" width="12.42578125" style="33" customWidth="1"/>
    <col min="12519" max="12519" width="14.5703125" style="33" customWidth="1"/>
    <col min="12520" max="12521" width="11.85546875" style="33" customWidth="1"/>
    <col min="12522" max="12522" width="14.5703125" style="33" customWidth="1"/>
    <col min="12523" max="12523" width="11.140625" style="33" customWidth="1"/>
    <col min="12524" max="12524" width="10.140625" style="33" customWidth="1"/>
    <col min="12525" max="12525" width="10.85546875" style="33" customWidth="1"/>
    <col min="12526" max="12526" width="12.42578125" style="33" customWidth="1"/>
    <col min="12527" max="12761" width="6.5703125" style="33"/>
    <col min="12762" max="12762" width="37.5703125" style="33" customWidth="1"/>
    <col min="12763" max="12763" width="10.5703125" style="33" customWidth="1"/>
    <col min="12764" max="12764" width="14.42578125" style="33" customWidth="1"/>
    <col min="12765" max="12765" width="8.5703125" style="33" customWidth="1"/>
    <col min="12766" max="12766" width="10.85546875" style="33" customWidth="1"/>
    <col min="12767" max="12767" width="13.140625" style="33" customWidth="1"/>
    <col min="12768" max="12768" width="10.140625" style="33" customWidth="1"/>
    <col min="12769" max="12769" width="11" style="33" customWidth="1"/>
    <col min="12770" max="12770" width="13.42578125" style="33" customWidth="1"/>
    <col min="12771" max="12771" width="9.5703125" style="33" customWidth="1"/>
    <col min="12772" max="12772" width="11" style="33" customWidth="1"/>
    <col min="12773" max="12773" width="13.5703125" style="33" customWidth="1"/>
    <col min="12774" max="12774" width="12.42578125" style="33" customWidth="1"/>
    <col min="12775" max="12775" width="14.5703125" style="33" customWidth="1"/>
    <col min="12776" max="12777" width="11.85546875" style="33" customWidth="1"/>
    <col min="12778" max="12778" width="14.5703125" style="33" customWidth="1"/>
    <col min="12779" max="12779" width="11.140625" style="33" customWidth="1"/>
    <col min="12780" max="12780" width="10.140625" style="33" customWidth="1"/>
    <col min="12781" max="12781" width="10.85546875" style="33" customWidth="1"/>
    <col min="12782" max="12782" width="12.42578125" style="33" customWidth="1"/>
    <col min="12783" max="13017" width="6.5703125" style="33"/>
    <col min="13018" max="13018" width="37.5703125" style="33" customWidth="1"/>
    <col min="13019" max="13019" width="10.5703125" style="33" customWidth="1"/>
    <col min="13020" max="13020" width="14.42578125" style="33" customWidth="1"/>
    <col min="13021" max="13021" width="8.5703125" style="33" customWidth="1"/>
    <col min="13022" max="13022" width="10.85546875" style="33" customWidth="1"/>
    <col min="13023" max="13023" width="13.140625" style="33" customWidth="1"/>
    <col min="13024" max="13024" width="10.140625" style="33" customWidth="1"/>
    <col min="13025" max="13025" width="11" style="33" customWidth="1"/>
    <col min="13026" max="13026" width="13.42578125" style="33" customWidth="1"/>
    <col min="13027" max="13027" width="9.5703125" style="33" customWidth="1"/>
    <col min="13028" max="13028" width="11" style="33" customWidth="1"/>
    <col min="13029" max="13029" width="13.5703125" style="33" customWidth="1"/>
    <col min="13030" max="13030" width="12.42578125" style="33" customWidth="1"/>
    <col min="13031" max="13031" width="14.5703125" style="33" customWidth="1"/>
    <col min="13032" max="13033" width="11.85546875" style="33" customWidth="1"/>
    <col min="13034" max="13034" width="14.5703125" style="33" customWidth="1"/>
    <col min="13035" max="13035" width="11.140625" style="33" customWidth="1"/>
    <col min="13036" max="13036" width="10.140625" style="33" customWidth="1"/>
    <col min="13037" max="13037" width="10.85546875" style="33" customWidth="1"/>
    <col min="13038" max="13038" width="12.42578125" style="33" customWidth="1"/>
    <col min="13039" max="13273" width="6.5703125" style="33"/>
    <col min="13274" max="13274" width="37.5703125" style="33" customWidth="1"/>
    <col min="13275" max="13275" width="10.5703125" style="33" customWidth="1"/>
    <col min="13276" max="13276" width="14.42578125" style="33" customWidth="1"/>
    <col min="13277" max="13277" width="8.5703125" style="33" customWidth="1"/>
    <col min="13278" max="13278" width="10.85546875" style="33" customWidth="1"/>
    <col min="13279" max="13279" width="13.140625" style="33" customWidth="1"/>
    <col min="13280" max="13280" width="10.140625" style="33" customWidth="1"/>
    <col min="13281" max="13281" width="11" style="33" customWidth="1"/>
    <col min="13282" max="13282" width="13.42578125" style="33" customWidth="1"/>
    <col min="13283" max="13283" width="9.5703125" style="33" customWidth="1"/>
    <col min="13284" max="13284" width="11" style="33" customWidth="1"/>
    <col min="13285" max="13285" width="13.5703125" style="33" customWidth="1"/>
    <col min="13286" max="13286" width="12.42578125" style="33" customWidth="1"/>
    <col min="13287" max="13287" width="14.5703125" style="33" customWidth="1"/>
    <col min="13288" max="13289" width="11.85546875" style="33" customWidth="1"/>
    <col min="13290" max="13290" width="14.5703125" style="33" customWidth="1"/>
    <col min="13291" max="13291" width="11.140625" style="33" customWidth="1"/>
    <col min="13292" max="13292" width="10.140625" style="33" customWidth="1"/>
    <col min="13293" max="13293" width="10.85546875" style="33" customWidth="1"/>
    <col min="13294" max="13294" width="12.42578125" style="33" customWidth="1"/>
    <col min="13295" max="13529" width="6.5703125" style="33"/>
    <col min="13530" max="13530" width="37.5703125" style="33" customWidth="1"/>
    <col min="13531" max="13531" width="10.5703125" style="33" customWidth="1"/>
    <col min="13532" max="13532" width="14.42578125" style="33" customWidth="1"/>
    <col min="13533" max="13533" width="8.5703125" style="33" customWidth="1"/>
    <col min="13534" max="13534" width="10.85546875" style="33" customWidth="1"/>
    <col min="13535" max="13535" width="13.140625" style="33" customWidth="1"/>
    <col min="13536" max="13536" width="10.140625" style="33" customWidth="1"/>
    <col min="13537" max="13537" width="11" style="33" customWidth="1"/>
    <col min="13538" max="13538" width="13.42578125" style="33" customWidth="1"/>
    <col min="13539" max="13539" width="9.5703125" style="33" customWidth="1"/>
    <col min="13540" max="13540" width="11" style="33" customWidth="1"/>
    <col min="13541" max="13541" width="13.5703125" style="33" customWidth="1"/>
    <col min="13542" max="13542" width="12.42578125" style="33" customWidth="1"/>
    <col min="13543" max="13543" width="14.5703125" style="33" customWidth="1"/>
    <col min="13544" max="13545" width="11.85546875" style="33" customWidth="1"/>
    <col min="13546" max="13546" width="14.5703125" style="33" customWidth="1"/>
    <col min="13547" max="13547" width="11.140625" style="33" customWidth="1"/>
    <col min="13548" max="13548" width="10.140625" style="33" customWidth="1"/>
    <col min="13549" max="13549" width="10.85546875" style="33" customWidth="1"/>
    <col min="13550" max="13550" width="12.42578125" style="33" customWidth="1"/>
    <col min="13551" max="13785" width="6.5703125" style="33"/>
    <col min="13786" max="13786" width="37.5703125" style="33" customWidth="1"/>
    <col min="13787" max="13787" width="10.5703125" style="33" customWidth="1"/>
    <col min="13788" max="13788" width="14.42578125" style="33" customWidth="1"/>
    <col min="13789" max="13789" width="8.5703125" style="33" customWidth="1"/>
    <col min="13790" max="13790" width="10.85546875" style="33" customWidth="1"/>
    <col min="13791" max="13791" width="13.140625" style="33" customWidth="1"/>
    <col min="13792" max="13792" width="10.140625" style="33" customWidth="1"/>
    <col min="13793" max="13793" width="11" style="33" customWidth="1"/>
    <col min="13794" max="13794" width="13.42578125" style="33" customWidth="1"/>
    <col min="13795" max="13795" width="9.5703125" style="33" customWidth="1"/>
    <col min="13796" max="13796" width="11" style="33" customWidth="1"/>
    <col min="13797" max="13797" width="13.5703125" style="33" customWidth="1"/>
    <col min="13798" max="13798" width="12.42578125" style="33" customWidth="1"/>
    <col min="13799" max="13799" width="14.5703125" style="33" customWidth="1"/>
    <col min="13800" max="13801" width="11.85546875" style="33" customWidth="1"/>
    <col min="13802" max="13802" width="14.5703125" style="33" customWidth="1"/>
    <col min="13803" max="13803" width="11.140625" style="33" customWidth="1"/>
    <col min="13804" max="13804" width="10.140625" style="33" customWidth="1"/>
    <col min="13805" max="13805" width="10.85546875" style="33" customWidth="1"/>
    <col min="13806" max="13806" width="12.42578125" style="33" customWidth="1"/>
    <col min="13807" max="14041" width="6.5703125" style="33"/>
    <col min="14042" max="14042" width="37.5703125" style="33" customWidth="1"/>
    <col min="14043" max="14043" width="10.5703125" style="33" customWidth="1"/>
    <col min="14044" max="14044" width="14.42578125" style="33" customWidth="1"/>
    <col min="14045" max="14045" width="8.5703125" style="33" customWidth="1"/>
    <col min="14046" max="14046" width="10.85546875" style="33" customWidth="1"/>
    <col min="14047" max="14047" width="13.140625" style="33" customWidth="1"/>
    <col min="14048" max="14048" width="10.140625" style="33" customWidth="1"/>
    <col min="14049" max="14049" width="11" style="33" customWidth="1"/>
    <col min="14050" max="14050" width="13.42578125" style="33" customWidth="1"/>
    <col min="14051" max="14051" width="9.5703125" style="33" customWidth="1"/>
    <col min="14052" max="14052" width="11" style="33" customWidth="1"/>
    <col min="14053" max="14053" width="13.5703125" style="33" customWidth="1"/>
    <col min="14054" max="14054" width="12.42578125" style="33" customWidth="1"/>
    <col min="14055" max="14055" width="14.5703125" style="33" customWidth="1"/>
    <col min="14056" max="14057" width="11.85546875" style="33" customWidth="1"/>
    <col min="14058" max="14058" width="14.5703125" style="33" customWidth="1"/>
    <col min="14059" max="14059" width="11.140625" style="33" customWidth="1"/>
    <col min="14060" max="14060" width="10.140625" style="33" customWidth="1"/>
    <col min="14061" max="14061" width="10.85546875" style="33" customWidth="1"/>
    <col min="14062" max="14062" width="12.42578125" style="33" customWidth="1"/>
    <col min="14063" max="14297" width="6.5703125" style="33"/>
    <col min="14298" max="14298" width="37.5703125" style="33" customWidth="1"/>
    <col min="14299" max="14299" width="10.5703125" style="33" customWidth="1"/>
    <col min="14300" max="14300" width="14.42578125" style="33" customWidth="1"/>
    <col min="14301" max="14301" width="8.5703125" style="33" customWidth="1"/>
    <col min="14302" max="14302" width="10.85546875" style="33" customWidth="1"/>
    <col min="14303" max="14303" width="13.140625" style="33" customWidth="1"/>
    <col min="14304" max="14304" width="10.140625" style="33" customWidth="1"/>
    <col min="14305" max="14305" width="11" style="33" customWidth="1"/>
    <col min="14306" max="14306" width="13.42578125" style="33" customWidth="1"/>
    <col min="14307" max="14307" width="9.5703125" style="33" customWidth="1"/>
    <col min="14308" max="14308" width="11" style="33" customWidth="1"/>
    <col min="14309" max="14309" width="13.5703125" style="33" customWidth="1"/>
    <col min="14310" max="14310" width="12.42578125" style="33" customWidth="1"/>
    <col min="14311" max="14311" width="14.5703125" style="33" customWidth="1"/>
    <col min="14312" max="14313" width="11.85546875" style="33" customWidth="1"/>
    <col min="14314" max="14314" width="14.5703125" style="33" customWidth="1"/>
    <col min="14315" max="14315" width="11.140625" style="33" customWidth="1"/>
    <col min="14316" max="14316" width="10.140625" style="33" customWidth="1"/>
    <col min="14317" max="14317" width="10.85546875" style="33" customWidth="1"/>
    <col min="14318" max="14318" width="12.42578125" style="33" customWidth="1"/>
    <col min="14319" max="14553" width="6.5703125" style="33"/>
    <col min="14554" max="14554" width="37.5703125" style="33" customWidth="1"/>
    <col min="14555" max="14555" width="10.5703125" style="33" customWidth="1"/>
    <col min="14556" max="14556" width="14.42578125" style="33" customWidth="1"/>
    <col min="14557" max="14557" width="8.5703125" style="33" customWidth="1"/>
    <col min="14558" max="14558" width="10.85546875" style="33" customWidth="1"/>
    <col min="14559" max="14559" width="13.140625" style="33" customWidth="1"/>
    <col min="14560" max="14560" width="10.140625" style="33" customWidth="1"/>
    <col min="14561" max="14561" width="11" style="33" customWidth="1"/>
    <col min="14562" max="14562" width="13.42578125" style="33" customWidth="1"/>
    <col min="14563" max="14563" width="9.5703125" style="33" customWidth="1"/>
    <col min="14564" max="14564" width="11" style="33" customWidth="1"/>
    <col min="14565" max="14565" width="13.5703125" style="33" customWidth="1"/>
    <col min="14566" max="14566" width="12.42578125" style="33" customWidth="1"/>
    <col min="14567" max="14567" width="14.5703125" style="33" customWidth="1"/>
    <col min="14568" max="14569" width="11.85546875" style="33" customWidth="1"/>
    <col min="14570" max="14570" width="14.5703125" style="33" customWidth="1"/>
    <col min="14571" max="14571" width="11.140625" style="33" customWidth="1"/>
    <col min="14572" max="14572" width="10.140625" style="33" customWidth="1"/>
    <col min="14573" max="14573" width="10.85546875" style="33" customWidth="1"/>
    <col min="14574" max="14574" width="12.42578125" style="33" customWidth="1"/>
    <col min="14575" max="14809" width="6.5703125" style="33"/>
    <col min="14810" max="14810" width="37.5703125" style="33" customWidth="1"/>
    <col min="14811" max="14811" width="10.5703125" style="33" customWidth="1"/>
    <col min="14812" max="14812" width="14.42578125" style="33" customWidth="1"/>
    <col min="14813" max="14813" width="8.5703125" style="33" customWidth="1"/>
    <col min="14814" max="14814" width="10.85546875" style="33" customWidth="1"/>
    <col min="14815" max="14815" width="13.140625" style="33" customWidth="1"/>
    <col min="14816" max="14816" width="10.140625" style="33" customWidth="1"/>
    <col min="14817" max="14817" width="11" style="33" customWidth="1"/>
    <col min="14818" max="14818" width="13.42578125" style="33" customWidth="1"/>
    <col min="14819" max="14819" width="9.5703125" style="33" customWidth="1"/>
    <col min="14820" max="14820" width="11" style="33" customWidth="1"/>
    <col min="14821" max="14821" width="13.5703125" style="33" customWidth="1"/>
    <col min="14822" max="14822" width="12.42578125" style="33" customWidth="1"/>
    <col min="14823" max="14823" width="14.5703125" style="33" customWidth="1"/>
    <col min="14824" max="14825" width="11.85546875" style="33" customWidth="1"/>
    <col min="14826" max="14826" width="14.5703125" style="33" customWidth="1"/>
    <col min="14827" max="14827" width="11.140625" style="33" customWidth="1"/>
    <col min="14828" max="14828" width="10.140625" style="33" customWidth="1"/>
    <col min="14829" max="14829" width="10.85546875" style="33" customWidth="1"/>
    <col min="14830" max="14830" width="12.42578125" style="33" customWidth="1"/>
    <col min="14831" max="15065" width="6.5703125" style="33"/>
    <col min="15066" max="15066" width="37.5703125" style="33" customWidth="1"/>
    <col min="15067" max="15067" width="10.5703125" style="33" customWidth="1"/>
    <col min="15068" max="15068" width="14.42578125" style="33" customWidth="1"/>
    <col min="15069" max="15069" width="8.5703125" style="33" customWidth="1"/>
    <col min="15070" max="15070" width="10.85546875" style="33" customWidth="1"/>
    <col min="15071" max="15071" width="13.140625" style="33" customWidth="1"/>
    <col min="15072" max="15072" width="10.140625" style="33" customWidth="1"/>
    <col min="15073" max="15073" width="11" style="33" customWidth="1"/>
    <col min="15074" max="15074" width="13.42578125" style="33" customWidth="1"/>
    <col min="15075" max="15075" width="9.5703125" style="33" customWidth="1"/>
    <col min="15076" max="15076" width="11" style="33" customWidth="1"/>
    <col min="15077" max="15077" width="13.5703125" style="33" customWidth="1"/>
    <col min="15078" max="15078" width="12.42578125" style="33" customWidth="1"/>
    <col min="15079" max="15079" width="14.5703125" style="33" customWidth="1"/>
    <col min="15080" max="15081" width="11.85546875" style="33" customWidth="1"/>
    <col min="15082" max="15082" width="14.5703125" style="33" customWidth="1"/>
    <col min="15083" max="15083" width="11.140625" style="33" customWidth="1"/>
    <col min="15084" max="15084" width="10.140625" style="33" customWidth="1"/>
    <col min="15085" max="15085" width="10.85546875" style="33" customWidth="1"/>
    <col min="15086" max="15086" width="12.42578125" style="33" customWidth="1"/>
    <col min="15087" max="15321" width="6.5703125" style="33"/>
    <col min="15322" max="15322" width="37.5703125" style="33" customWidth="1"/>
    <col min="15323" max="15323" width="10.5703125" style="33" customWidth="1"/>
    <col min="15324" max="15324" width="14.42578125" style="33" customWidth="1"/>
    <col min="15325" max="15325" width="8.5703125" style="33" customWidth="1"/>
    <col min="15326" max="15326" width="10.85546875" style="33" customWidth="1"/>
    <col min="15327" max="15327" width="13.140625" style="33" customWidth="1"/>
    <col min="15328" max="15328" width="10.140625" style="33" customWidth="1"/>
    <col min="15329" max="15329" width="11" style="33" customWidth="1"/>
    <col min="15330" max="15330" width="13.42578125" style="33" customWidth="1"/>
    <col min="15331" max="15331" width="9.5703125" style="33" customWidth="1"/>
    <col min="15332" max="15332" width="11" style="33" customWidth="1"/>
    <col min="15333" max="15333" width="13.5703125" style="33" customWidth="1"/>
    <col min="15334" max="15334" width="12.42578125" style="33" customWidth="1"/>
    <col min="15335" max="15335" width="14.5703125" style="33" customWidth="1"/>
    <col min="15336" max="15337" width="11.85546875" style="33" customWidth="1"/>
    <col min="15338" max="15338" width="14.5703125" style="33" customWidth="1"/>
    <col min="15339" max="15339" width="11.140625" style="33" customWidth="1"/>
    <col min="15340" max="15340" width="10.140625" style="33" customWidth="1"/>
    <col min="15341" max="15341" width="10.85546875" style="33" customWidth="1"/>
    <col min="15342" max="15342" width="12.42578125" style="33" customWidth="1"/>
    <col min="15343" max="15577" width="6.5703125" style="33"/>
    <col min="15578" max="15578" width="37.5703125" style="33" customWidth="1"/>
    <col min="15579" max="15579" width="10.5703125" style="33" customWidth="1"/>
    <col min="15580" max="15580" width="14.42578125" style="33" customWidth="1"/>
    <col min="15581" max="15581" width="8.5703125" style="33" customWidth="1"/>
    <col min="15582" max="15582" width="10.85546875" style="33" customWidth="1"/>
    <col min="15583" max="15583" width="13.140625" style="33" customWidth="1"/>
    <col min="15584" max="15584" width="10.140625" style="33" customWidth="1"/>
    <col min="15585" max="15585" width="11" style="33" customWidth="1"/>
    <col min="15586" max="15586" width="13.42578125" style="33" customWidth="1"/>
    <col min="15587" max="15587" width="9.5703125" style="33" customWidth="1"/>
    <col min="15588" max="15588" width="11" style="33" customWidth="1"/>
    <col min="15589" max="15589" width="13.5703125" style="33" customWidth="1"/>
    <col min="15590" max="15590" width="12.42578125" style="33" customWidth="1"/>
    <col min="15591" max="15591" width="14.5703125" style="33" customWidth="1"/>
    <col min="15592" max="15593" width="11.85546875" style="33" customWidth="1"/>
    <col min="15594" max="15594" width="14.5703125" style="33" customWidth="1"/>
    <col min="15595" max="15595" width="11.140625" style="33" customWidth="1"/>
    <col min="15596" max="15596" width="10.140625" style="33" customWidth="1"/>
    <col min="15597" max="15597" width="10.85546875" style="33" customWidth="1"/>
    <col min="15598" max="15598" width="12.42578125" style="33" customWidth="1"/>
    <col min="15599" max="15833" width="6.5703125" style="33"/>
    <col min="15834" max="15834" width="37.5703125" style="33" customWidth="1"/>
    <col min="15835" max="15835" width="10.5703125" style="33" customWidth="1"/>
    <col min="15836" max="15836" width="14.42578125" style="33" customWidth="1"/>
    <col min="15837" max="15837" width="8.5703125" style="33" customWidth="1"/>
    <col min="15838" max="15838" width="10.85546875" style="33" customWidth="1"/>
    <col min="15839" max="15839" width="13.140625" style="33" customWidth="1"/>
    <col min="15840" max="15840" width="10.140625" style="33" customWidth="1"/>
    <col min="15841" max="15841" width="11" style="33" customWidth="1"/>
    <col min="15842" max="15842" width="13.42578125" style="33" customWidth="1"/>
    <col min="15843" max="15843" width="9.5703125" style="33" customWidth="1"/>
    <col min="15844" max="15844" width="11" style="33" customWidth="1"/>
    <col min="15845" max="15845" width="13.5703125" style="33" customWidth="1"/>
    <col min="15846" max="15846" width="12.42578125" style="33" customWidth="1"/>
    <col min="15847" max="15847" width="14.5703125" style="33" customWidth="1"/>
    <col min="15848" max="15849" width="11.85546875" style="33" customWidth="1"/>
    <col min="15850" max="15850" width="14.5703125" style="33" customWidth="1"/>
    <col min="15851" max="15851" width="11.140625" style="33" customWidth="1"/>
    <col min="15852" max="15852" width="10.140625" style="33" customWidth="1"/>
    <col min="15853" max="15853" width="10.85546875" style="33" customWidth="1"/>
    <col min="15854" max="15854" width="12.42578125" style="33" customWidth="1"/>
    <col min="15855" max="16089" width="6.5703125" style="33"/>
    <col min="16090" max="16090" width="37.5703125" style="33" customWidth="1"/>
    <col min="16091" max="16091" width="10.5703125" style="33" customWidth="1"/>
    <col min="16092" max="16092" width="14.42578125" style="33" customWidth="1"/>
    <col min="16093" max="16093" width="8.5703125" style="33" customWidth="1"/>
    <col min="16094" max="16094" width="10.85546875" style="33" customWidth="1"/>
    <col min="16095" max="16095" width="13.140625" style="33" customWidth="1"/>
    <col min="16096" max="16096" width="10.140625" style="33" customWidth="1"/>
    <col min="16097" max="16097" width="11" style="33" customWidth="1"/>
    <col min="16098" max="16098" width="13.42578125" style="33" customWidth="1"/>
    <col min="16099" max="16099" width="9.5703125" style="33" customWidth="1"/>
    <col min="16100" max="16100" width="11" style="33" customWidth="1"/>
    <col min="16101" max="16101" width="13.5703125" style="33" customWidth="1"/>
    <col min="16102" max="16102" width="12.42578125" style="33" customWidth="1"/>
    <col min="16103" max="16103" width="14.5703125" style="33" customWidth="1"/>
    <col min="16104" max="16105" width="11.85546875" style="33" customWidth="1"/>
    <col min="16106" max="16106" width="14.5703125" style="33" customWidth="1"/>
    <col min="16107" max="16107" width="11.140625" style="33" customWidth="1"/>
    <col min="16108" max="16108" width="10.140625" style="33" customWidth="1"/>
    <col min="16109" max="16109" width="10.85546875" style="33" customWidth="1"/>
    <col min="16110" max="16110" width="12.42578125" style="33" customWidth="1"/>
    <col min="16111" max="16384" width="6.5703125" style="33"/>
  </cols>
  <sheetData>
    <row r="1" spans="1:3" ht="27.75" customHeight="1" x14ac:dyDescent="0.2">
      <c r="A1" s="75" t="s">
        <v>256</v>
      </c>
      <c r="B1" s="75"/>
      <c r="C1" s="75"/>
    </row>
    <row r="2" spans="1:3" ht="47.25" customHeight="1" x14ac:dyDescent="0.2">
      <c r="A2" s="76" t="s">
        <v>257</v>
      </c>
      <c r="B2" s="76"/>
      <c r="C2" s="76"/>
    </row>
    <row r="3" spans="1:3" ht="40.5" customHeight="1" x14ac:dyDescent="0.2">
      <c r="A3" s="34"/>
      <c r="B3" s="77" t="s">
        <v>258</v>
      </c>
      <c r="C3" s="77"/>
    </row>
    <row r="4" spans="1:3" ht="40.5" customHeight="1" x14ac:dyDescent="0.2">
      <c r="A4" s="78" t="s">
        <v>259</v>
      </c>
      <c r="B4" s="79" t="s">
        <v>260</v>
      </c>
      <c r="C4" s="80"/>
    </row>
    <row r="5" spans="1:3" s="36" customFormat="1" ht="58.5" customHeight="1" x14ac:dyDescent="0.2">
      <c r="A5" s="78"/>
      <c r="B5" s="35" t="s">
        <v>261</v>
      </c>
      <c r="C5" s="35" t="s">
        <v>262</v>
      </c>
    </row>
    <row r="6" spans="1:3" ht="15" x14ac:dyDescent="0.2">
      <c r="A6" s="37" t="s">
        <v>263</v>
      </c>
      <c r="B6" s="38">
        <v>9.9795599457896138</v>
      </c>
      <c r="C6" s="38">
        <v>3.4606890500511414</v>
      </c>
    </row>
    <row r="7" spans="1:3" ht="18" customHeight="1" x14ac:dyDescent="0.2">
      <c r="A7" s="39" t="s">
        <v>264</v>
      </c>
      <c r="B7" s="40">
        <v>3.7715460291568972</v>
      </c>
      <c r="C7" s="40">
        <v>4.6948918595167708</v>
      </c>
    </row>
    <row r="8" spans="1:3" ht="26.25" customHeight="1" x14ac:dyDescent="0.2">
      <c r="A8" s="41" t="s">
        <v>265</v>
      </c>
      <c r="B8" s="38">
        <v>2.7374707589831333</v>
      </c>
      <c r="C8" s="38">
        <v>4.3117915851869952</v>
      </c>
    </row>
    <row r="9" spans="1:3" ht="15" customHeight="1" x14ac:dyDescent="0.2">
      <c r="A9" s="41" t="s">
        <v>266</v>
      </c>
      <c r="B9" s="38">
        <v>8.0023362797847799</v>
      </c>
      <c r="C9" s="38">
        <v>7.2152759415833971</v>
      </c>
    </row>
    <row r="10" spans="1:3" ht="15" customHeight="1" x14ac:dyDescent="0.2">
      <c r="A10" s="41" t="s">
        <v>267</v>
      </c>
      <c r="B10" s="38">
        <v>9.6176031746031754</v>
      </c>
      <c r="C10" s="38">
        <v>6.2258868407578083</v>
      </c>
    </row>
    <row r="11" spans="1:3" ht="18" customHeight="1" x14ac:dyDescent="0.2">
      <c r="A11" s="39" t="s">
        <v>268</v>
      </c>
      <c r="B11" s="40">
        <v>35.228119647363421</v>
      </c>
      <c r="C11" s="40">
        <v>2.2073426277324422</v>
      </c>
    </row>
    <row r="12" spans="1:3" ht="15" customHeight="1" x14ac:dyDescent="0.2">
      <c r="A12" s="41" t="s">
        <v>269</v>
      </c>
      <c r="B12" s="38">
        <v>46.495823413804501</v>
      </c>
      <c r="C12" s="38">
        <v>1.5484753342467048</v>
      </c>
    </row>
    <row r="13" spans="1:3" ht="15" customHeight="1" x14ac:dyDescent="0.2">
      <c r="A13" s="41" t="s">
        <v>270</v>
      </c>
      <c r="B13" s="38">
        <v>9.1935861647518955</v>
      </c>
      <c r="C13" s="38">
        <v>3.416786889920965</v>
      </c>
    </row>
    <row r="14" spans="1:3" ht="18" customHeight="1" x14ac:dyDescent="0.2">
      <c r="A14" s="39" t="s">
        <v>271</v>
      </c>
      <c r="B14" s="40">
        <v>8.1403267908733596</v>
      </c>
      <c r="C14" s="40">
        <v>2.1417447072635394</v>
      </c>
    </row>
    <row r="15" spans="1:3" ht="15" customHeight="1" x14ac:dyDescent="0.2">
      <c r="A15" s="41" t="s">
        <v>272</v>
      </c>
      <c r="B15" s="38">
        <v>16.920627997227996</v>
      </c>
      <c r="C15" s="38">
        <v>1.6295714137214135</v>
      </c>
    </row>
    <row r="16" spans="1:3" ht="15" customHeight="1" x14ac:dyDescent="0.2">
      <c r="A16" s="41" t="s">
        <v>273</v>
      </c>
      <c r="B16" s="38">
        <v>8.8174083885209722</v>
      </c>
      <c r="C16" s="38">
        <v>3.9803360138757493</v>
      </c>
    </row>
    <row r="17" spans="1:3" ht="15" customHeight="1" x14ac:dyDescent="0.2">
      <c r="A17" s="41" t="s">
        <v>274</v>
      </c>
      <c r="B17" s="38">
        <v>11.29878550295858</v>
      </c>
      <c r="C17" s="38">
        <v>5.7309319526627229</v>
      </c>
    </row>
    <row r="18" spans="1:3" ht="27" customHeight="1" x14ac:dyDescent="0.2">
      <c r="A18" s="41" t="s">
        <v>275</v>
      </c>
      <c r="B18" s="38">
        <v>2.2466273968823289</v>
      </c>
      <c r="C18" s="38">
        <v>3.2481663677748656</v>
      </c>
    </row>
    <row r="19" spans="1:3" ht="15" customHeight="1" x14ac:dyDescent="0.2">
      <c r="A19" s="41" t="s">
        <v>276</v>
      </c>
      <c r="B19" s="38">
        <v>3.3741200436522374</v>
      </c>
      <c r="C19" s="38">
        <v>1.9662530920334671</v>
      </c>
    </row>
    <row r="20" spans="1:3" ht="15" customHeight="1" x14ac:dyDescent="0.2">
      <c r="A20" s="41" t="s">
        <v>277</v>
      </c>
      <c r="B20" s="38">
        <v>9.5600045138888898</v>
      </c>
      <c r="C20" s="38">
        <v>3.7351177083333331</v>
      </c>
    </row>
    <row r="21" spans="1:3" ht="15" customHeight="1" x14ac:dyDescent="0.2">
      <c r="A21" s="41" t="s">
        <v>278</v>
      </c>
      <c r="B21" s="38">
        <v>7.6643399096579063</v>
      </c>
      <c r="C21" s="38">
        <v>0.34569611845291631</v>
      </c>
    </row>
    <row r="22" spans="1:3" s="43" customFormat="1" ht="15" customHeight="1" x14ac:dyDescent="0.2">
      <c r="A22" s="41" t="s">
        <v>279</v>
      </c>
      <c r="B22" s="42">
        <v>0.64202228802992511</v>
      </c>
      <c r="C22" s="42">
        <v>2.2274654613466334</v>
      </c>
    </row>
    <row r="23" spans="1:3" ht="15" customHeight="1" x14ac:dyDescent="0.2">
      <c r="A23" s="41" t="s">
        <v>280</v>
      </c>
      <c r="B23" s="38">
        <v>6.9023353620146901</v>
      </c>
      <c r="C23" s="38">
        <v>2.3108337880377752</v>
      </c>
    </row>
    <row r="24" spans="1:3" ht="15" customHeight="1" x14ac:dyDescent="0.2">
      <c r="A24" s="41" t="s">
        <v>281</v>
      </c>
      <c r="B24" s="38">
        <v>7.1898552641581137</v>
      </c>
      <c r="C24" s="38">
        <v>2.4218125427594073</v>
      </c>
    </row>
    <row r="25" spans="1:3" ht="15" customHeight="1" x14ac:dyDescent="0.2">
      <c r="A25" s="41" t="s">
        <v>282</v>
      </c>
      <c r="B25" s="38">
        <v>9.0942412728175164</v>
      </c>
      <c r="C25" s="38">
        <v>3.0611727237633048</v>
      </c>
    </row>
    <row r="26" spans="1:3" ht="30" customHeight="1" x14ac:dyDescent="0.2">
      <c r="A26" s="41" t="s">
        <v>283</v>
      </c>
      <c r="B26" s="38">
        <v>3.4299121807447173</v>
      </c>
      <c r="C26" s="38">
        <v>1.9216668481372667</v>
      </c>
    </row>
    <row r="27" spans="1:3" ht="15" customHeight="1" x14ac:dyDescent="0.2">
      <c r="A27" s="41" t="s">
        <v>284</v>
      </c>
      <c r="B27" s="38">
        <v>10.316083771025863</v>
      </c>
      <c r="C27" s="38">
        <v>4.1095288212219927</v>
      </c>
    </row>
    <row r="28" spans="1:3" ht="15" customHeight="1" x14ac:dyDescent="0.2">
      <c r="A28" s="41" t="s">
        <v>285</v>
      </c>
      <c r="B28" s="38">
        <v>11.773382196231319</v>
      </c>
      <c r="C28" s="38">
        <v>4.775347888239116</v>
      </c>
    </row>
    <row r="29" spans="1:3" ht="15" customHeight="1" x14ac:dyDescent="0.2">
      <c r="A29" s="41" t="s">
        <v>286</v>
      </c>
      <c r="B29" s="38">
        <v>8.0127233794367605</v>
      </c>
      <c r="C29" s="38">
        <v>2.9896059823362768</v>
      </c>
    </row>
    <row r="30" spans="1:3" ht="15" customHeight="1" x14ac:dyDescent="0.2">
      <c r="A30" s="41" t="s">
        <v>287</v>
      </c>
      <c r="B30" s="38">
        <v>5.4385920099160945</v>
      </c>
      <c r="C30" s="38">
        <v>4.8859774980930588</v>
      </c>
    </row>
    <row r="31" spans="1:3" ht="15" customHeight="1" x14ac:dyDescent="0.2">
      <c r="A31" s="41" t="s">
        <v>288</v>
      </c>
      <c r="B31" s="38">
        <v>5.9148011881332447</v>
      </c>
      <c r="C31" s="38">
        <v>1.5780452292441141</v>
      </c>
    </row>
    <row r="32" spans="1:3" ht="30" x14ac:dyDescent="0.2">
      <c r="A32" s="39" t="s">
        <v>289</v>
      </c>
      <c r="B32" s="40">
        <v>7.259701496693352</v>
      </c>
      <c r="C32" s="40">
        <v>2.4722780368952315</v>
      </c>
    </row>
    <row r="33" spans="1:3" ht="14.25" x14ac:dyDescent="0.2">
      <c r="A33" s="41" t="s">
        <v>290</v>
      </c>
      <c r="B33" s="38">
        <v>8.151750592188618</v>
      </c>
      <c r="C33" s="38">
        <v>2.2512233928276322</v>
      </c>
    </row>
    <row r="34" spans="1:3" s="43" customFormat="1" ht="14.25" x14ac:dyDescent="0.2">
      <c r="A34" s="41" t="s">
        <v>291</v>
      </c>
      <c r="B34" s="42">
        <v>3.5739101090261816</v>
      </c>
      <c r="C34" s="42">
        <v>1.8492070014091821</v>
      </c>
    </row>
    <row r="35" spans="1:3" ht="28.5" x14ac:dyDescent="0.2">
      <c r="A35" s="41" t="s">
        <v>292</v>
      </c>
      <c r="B35" s="38">
        <v>6.2169567081604429</v>
      </c>
      <c r="C35" s="38">
        <v>4.1632896957123098</v>
      </c>
    </row>
    <row r="36" spans="1:3" ht="30" x14ac:dyDescent="0.2">
      <c r="A36" s="39" t="s">
        <v>293</v>
      </c>
      <c r="B36" s="40">
        <v>9.5545736564650756</v>
      </c>
      <c r="C36" s="40">
        <v>4.6377870844926052</v>
      </c>
    </row>
    <row r="37" spans="1:3" ht="15" x14ac:dyDescent="0.2">
      <c r="A37" s="39" t="s">
        <v>108</v>
      </c>
      <c r="B37" s="40">
        <v>10.656552397048054</v>
      </c>
      <c r="C37" s="40">
        <v>3.9216387921807221</v>
      </c>
    </row>
    <row r="38" spans="1:3" ht="30" x14ac:dyDescent="0.2">
      <c r="A38" s="39" t="s">
        <v>294</v>
      </c>
      <c r="B38" s="40">
        <v>3.0295586065039672</v>
      </c>
      <c r="C38" s="40">
        <v>1.008100585026011</v>
      </c>
    </row>
    <row r="39" spans="1:3" ht="28.5" x14ac:dyDescent="0.2">
      <c r="A39" s="41" t="s">
        <v>295</v>
      </c>
      <c r="B39" s="38">
        <v>3.6070055902573706</v>
      </c>
      <c r="C39" s="38">
        <v>0.91567104957423828</v>
      </c>
    </row>
    <row r="40" spans="1:3" ht="28.5" x14ac:dyDescent="0.2">
      <c r="A40" s="41" t="s">
        <v>296</v>
      </c>
      <c r="B40" s="38">
        <v>2.6294028371421918</v>
      </c>
      <c r="C40" s="38">
        <v>0.66925157670939772</v>
      </c>
    </row>
    <row r="41" spans="1:3" ht="14.25" x14ac:dyDescent="0.2">
      <c r="A41" s="41" t="s">
        <v>297</v>
      </c>
      <c r="B41" s="38">
        <v>4.0452917317348893</v>
      </c>
      <c r="C41" s="38">
        <v>2.0919111338959433</v>
      </c>
    </row>
    <row r="42" spans="1:3" ht="15" x14ac:dyDescent="0.2">
      <c r="A42" s="39" t="s">
        <v>298</v>
      </c>
      <c r="B42" s="40">
        <v>10.329261093191528</v>
      </c>
      <c r="C42" s="40">
        <v>6.1234712753901146</v>
      </c>
    </row>
    <row r="43" spans="1:3" ht="15" x14ac:dyDescent="0.2">
      <c r="A43" s="44" t="s">
        <v>299</v>
      </c>
      <c r="B43" s="40">
        <v>6.007514803773109</v>
      </c>
      <c r="C43" s="40">
        <v>4.7728451479588614</v>
      </c>
    </row>
    <row r="44" spans="1:3" s="43" customFormat="1" ht="28.5" x14ac:dyDescent="0.2">
      <c r="A44" s="41" t="s">
        <v>300</v>
      </c>
      <c r="B44" s="42">
        <v>4.7940558106229734</v>
      </c>
      <c r="C44" s="42">
        <v>7.1134512868034214</v>
      </c>
    </row>
    <row r="45" spans="1:3" ht="14.25" x14ac:dyDescent="0.2">
      <c r="A45" s="41" t="s">
        <v>301</v>
      </c>
      <c r="B45" s="38">
        <v>5.0174026266278089</v>
      </c>
      <c r="C45" s="38">
        <v>2.6512452134135098</v>
      </c>
    </row>
    <row r="46" spans="1:3" s="43" customFormat="1" ht="14.25" x14ac:dyDescent="0.2">
      <c r="A46" s="41" t="s">
        <v>302</v>
      </c>
      <c r="B46" s="42">
        <v>1.7664053030303031</v>
      </c>
      <c r="C46" s="42">
        <v>2.0015099862258956</v>
      </c>
    </row>
    <row r="47" spans="1:3" ht="14.25" x14ac:dyDescent="0.2">
      <c r="A47" s="41" t="s">
        <v>303</v>
      </c>
      <c r="B47" s="38">
        <v>14.670408005164621</v>
      </c>
      <c r="C47" s="38">
        <v>10.144819238218206</v>
      </c>
    </row>
    <row r="48" spans="1:3" ht="18" customHeight="1" x14ac:dyDescent="0.2">
      <c r="A48" s="39" t="s">
        <v>304</v>
      </c>
      <c r="B48" s="40">
        <v>17.332758714665992</v>
      </c>
      <c r="C48" s="40">
        <v>5.4667752778129888</v>
      </c>
    </row>
    <row r="49" spans="1:3" ht="18" customHeight="1" x14ac:dyDescent="0.2">
      <c r="A49" s="39" t="s">
        <v>305</v>
      </c>
      <c r="B49" s="40">
        <v>22.517854593891336</v>
      </c>
      <c r="C49" s="40">
        <v>5.4104979864940219</v>
      </c>
    </row>
    <row r="50" spans="1:3" ht="18" customHeight="1" x14ac:dyDescent="0.2">
      <c r="A50" s="39" t="s">
        <v>306</v>
      </c>
      <c r="B50" s="40">
        <v>20.323200378992961</v>
      </c>
      <c r="C50" s="40">
        <v>7.9907354087709814</v>
      </c>
    </row>
    <row r="51" spans="1:3" x14ac:dyDescent="0.2">
      <c r="A51" s="45"/>
    </row>
    <row r="52" spans="1:3" ht="11.25" customHeight="1" x14ac:dyDescent="0.2">
      <c r="A52" s="46" t="s">
        <v>307</v>
      </c>
    </row>
    <row r="54" spans="1:3" x14ac:dyDescent="0.2">
      <c r="A54" s="47"/>
    </row>
  </sheetData>
  <mergeCells count="5">
    <mergeCell ref="A1:C1"/>
    <mergeCell ref="A2:C2"/>
    <mergeCell ref="B3:C3"/>
    <mergeCell ref="A4:A5"/>
    <mergeCell ref="B4:C4"/>
  </mergeCells>
  <printOptions horizontalCentered="1" verticalCentered="1"/>
  <pageMargins left="0" right="0" top="0" bottom="0" header="0" footer="0"/>
  <pageSetup paperSize="8"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9">
    <tabColor indexed="42"/>
    <pageSetUpPr fitToPage="1"/>
  </sheetPr>
  <dimension ref="A1:C68"/>
  <sheetViews>
    <sheetView view="pageBreakPreview" zoomScale="70" zoomScaleNormal="70" zoomScaleSheetLayoutView="70" workbookViewId="0">
      <selection activeCell="C24" sqref="C24"/>
    </sheetView>
  </sheetViews>
  <sheetFormatPr defaultColWidth="9.140625" defaultRowHeight="12.75" x14ac:dyDescent="0.2"/>
  <cols>
    <col min="1" max="1" width="106.42578125" style="33" customWidth="1"/>
    <col min="2" max="3" width="14.5703125" style="33" customWidth="1"/>
    <col min="4" max="16384" width="9.140625" style="33"/>
  </cols>
  <sheetData>
    <row r="1" spans="1:3" ht="51.75" customHeight="1" x14ac:dyDescent="0.2">
      <c r="A1" s="82" t="s">
        <v>338</v>
      </c>
      <c r="B1" s="82"/>
      <c r="C1" s="82"/>
    </row>
    <row r="2" spans="1:3" ht="49.5" customHeight="1" x14ac:dyDescent="0.2">
      <c r="A2" s="56"/>
      <c r="B2" s="83" t="s">
        <v>339</v>
      </c>
      <c r="C2" s="83"/>
    </row>
    <row r="3" spans="1:3" ht="27.75" customHeight="1" x14ac:dyDescent="0.2">
      <c r="A3" s="84" t="s">
        <v>259</v>
      </c>
      <c r="B3" s="86" t="s">
        <v>260</v>
      </c>
      <c r="C3" s="87"/>
    </row>
    <row r="4" spans="1:3" s="36" customFormat="1" ht="78" customHeight="1" x14ac:dyDescent="0.2">
      <c r="A4" s="85"/>
      <c r="B4" s="57" t="s">
        <v>340</v>
      </c>
      <c r="C4" s="57" t="s">
        <v>341</v>
      </c>
    </row>
    <row r="5" spans="1:3" ht="15.75" x14ac:dyDescent="0.2">
      <c r="A5" s="58" t="s">
        <v>342</v>
      </c>
      <c r="B5" s="59">
        <v>9.9</v>
      </c>
      <c r="C5" s="59">
        <v>4.5</v>
      </c>
    </row>
    <row r="6" spans="1:3" ht="15.75" x14ac:dyDescent="0.2">
      <c r="A6" s="60" t="s">
        <v>343</v>
      </c>
      <c r="B6" s="61">
        <v>22.9</v>
      </c>
      <c r="C6" s="61">
        <v>8.5</v>
      </c>
    </row>
    <row r="7" spans="1:3" ht="31.5" x14ac:dyDescent="0.2">
      <c r="A7" s="60" t="s">
        <v>344</v>
      </c>
      <c r="B7" s="61">
        <v>20.8</v>
      </c>
      <c r="C7" s="61">
        <v>7.8</v>
      </c>
    </row>
    <row r="8" spans="1:3" ht="15.75" x14ac:dyDescent="0.2">
      <c r="A8" s="60" t="s">
        <v>266</v>
      </c>
      <c r="B8" s="61">
        <v>4.5</v>
      </c>
      <c r="C8" s="61" t="s">
        <v>345</v>
      </c>
    </row>
    <row r="9" spans="1:3" ht="15.75" x14ac:dyDescent="0.2">
      <c r="A9" s="60" t="s">
        <v>346</v>
      </c>
      <c r="B9" s="61">
        <v>52.2</v>
      </c>
      <c r="C9" s="61">
        <v>15.6</v>
      </c>
    </row>
    <row r="10" spans="1:3" ht="15.75" x14ac:dyDescent="0.2">
      <c r="A10" s="60" t="s">
        <v>347</v>
      </c>
      <c r="B10" s="61">
        <v>23</v>
      </c>
      <c r="C10" s="61">
        <v>8.3000000000000007</v>
      </c>
    </row>
    <row r="11" spans="1:3" ht="15.75" x14ac:dyDescent="0.2">
      <c r="A11" s="60" t="s">
        <v>348</v>
      </c>
      <c r="B11" s="61">
        <v>3</v>
      </c>
      <c r="C11" s="61" t="s">
        <v>345</v>
      </c>
    </row>
    <row r="12" spans="1:3" ht="15.75" x14ac:dyDescent="0.2">
      <c r="A12" s="60" t="s">
        <v>349</v>
      </c>
      <c r="B12" s="61">
        <v>19.8</v>
      </c>
      <c r="C12" s="61">
        <v>9.6</v>
      </c>
    </row>
    <row r="13" spans="1:3" ht="15.75" x14ac:dyDescent="0.2">
      <c r="A13" s="60" t="s">
        <v>350</v>
      </c>
      <c r="B13" s="61">
        <v>81.400000000000006</v>
      </c>
      <c r="C13" s="61">
        <v>27.9</v>
      </c>
    </row>
    <row r="14" spans="1:3" ht="15.75" x14ac:dyDescent="0.2">
      <c r="A14" s="60" t="s">
        <v>351</v>
      </c>
      <c r="B14" s="61">
        <v>32.799999999999997</v>
      </c>
      <c r="C14" s="61">
        <v>6.6</v>
      </c>
    </row>
    <row r="15" spans="1:3" ht="15.75" x14ac:dyDescent="0.2">
      <c r="A15" s="60" t="s">
        <v>352</v>
      </c>
      <c r="B15" s="61">
        <v>12.2</v>
      </c>
      <c r="C15" s="61">
        <v>5.8</v>
      </c>
    </row>
    <row r="16" spans="1:3" ht="15.75" x14ac:dyDescent="0.2">
      <c r="A16" s="60" t="s">
        <v>353</v>
      </c>
      <c r="B16" s="61">
        <v>9.5</v>
      </c>
      <c r="C16" s="61">
        <v>8.6999999999999993</v>
      </c>
    </row>
    <row r="17" spans="1:3" ht="15.75" x14ac:dyDescent="0.2">
      <c r="A17" s="60" t="s">
        <v>354</v>
      </c>
      <c r="B17" s="61">
        <v>10.6</v>
      </c>
      <c r="C17" s="61">
        <v>6.9</v>
      </c>
    </row>
    <row r="18" spans="1:3" ht="15.75" x14ac:dyDescent="0.2">
      <c r="A18" s="60" t="s">
        <v>355</v>
      </c>
      <c r="B18" s="61">
        <v>28.7</v>
      </c>
      <c r="C18" s="61">
        <v>19.600000000000001</v>
      </c>
    </row>
    <row r="19" spans="1:3" ht="15.75" x14ac:dyDescent="0.2">
      <c r="A19" s="60" t="s">
        <v>356</v>
      </c>
      <c r="B19" s="61">
        <v>11.8</v>
      </c>
      <c r="C19" s="61">
        <v>5.6</v>
      </c>
    </row>
    <row r="20" spans="1:3" ht="15.75" x14ac:dyDescent="0.2">
      <c r="A20" s="60" t="s">
        <v>357</v>
      </c>
      <c r="B20" s="61">
        <v>16.3</v>
      </c>
      <c r="C20" s="61">
        <v>9.9</v>
      </c>
    </row>
    <row r="21" spans="1:3" ht="15.75" x14ac:dyDescent="0.2">
      <c r="A21" s="60" t="s">
        <v>274</v>
      </c>
      <c r="B21" s="61">
        <v>4.9000000000000004</v>
      </c>
      <c r="C21" s="61">
        <v>2.2000000000000002</v>
      </c>
    </row>
    <row r="22" spans="1:3" ht="31.5" x14ac:dyDescent="0.2">
      <c r="A22" s="60" t="s">
        <v>358</v>
      </c>
      <c r="B22" s="61">
        <v>12.6</v>
      </c>
      <c r="C22" s="61" t="s">
        <v>359</v>
      </c>
    </row>
    <row r="23" spans="1:3" ht="15.75" x14ac:dyDescent="0.2">
      <c r="A23" s="60" t="s">
        <v>276</v>
      </c>
      <c r="B23" s="61">
        <v>15.6</v>
      </c>
      <c r="C23" s="61">
        <v>7.2</v>
      </c>
    </row>
    <row r="24" spans="1:3" ht="15.75" x14ac:dyDescent="0.2">
      <c r="A24" s="60" t="s">
        <v>277</v>
      </c>
      <c r="B24" s="61">
        <v>13.8</v>
      </c>
      <c r="C24" s="61">
        <v>10.4</v>
      </c>
    </row>
    <row r="25" spans="1:3" ht="15.75" x14ac:dyDescent="0.2">
      <c r="A25" s="60" t="s">
        <v>278</v>
      </c>
      <c r="B25" s="61">
        <v>5.3</v>
      </c>
      <c r="C25" s="61">
        <v>2.9</v>
      </c>
    </row>
    <row r="26" spans="1:3" ht="15.75" x14ac:dyDescent="0.2">
      <c r="A26" s="60" t="s">
        <v>279</v>
      </c>
      <c r="B26" s="61">
        <v>21.6</v>
      </c>
      <c r="C26" s="61">
        <v>3.9</v>
      </c>
    </row>
    <row r="27" spans="1:3" ht="15.75" x14ac:dyDescent="0.2">
      <c r="A27" s="60" t="s">
        <v>280</v>
      </c>
      <c r="B27" s="61">
        <v>42.3</v>
      </c>
      <c r="C27" s="61">
        <v>15.3</v>
      </c>
    </row>
    <row r="28" spans="1:3" ht="15.75" x14ac:dyDescent="0.2">
      <c r="A28" s="60" t="s">
        <v>281</v>
      </c>
      <c r="B28" s="61">
        <v>11.2</v>
      </c>
      <c r="C28" s="61">
        <v>9.6999999999999993</v>
      </c>
    </row>
    <row r="29" spans="1:3" ht="15.75" x14ac:dyDescent="0.2">
      <c r="A29" s="60" t="s">
        <v>282</v>
      </c>
      <c r="B29" s="61">
        <v>12.7</v>
      </c>
      <c r="C29" s="61">
        <v>5.8</v>
      </c>
    </row>
    <row r="30" spans="1:3" ht="15.75" x14ac:dyDescent="0.2">
      <c r="A30" s="60" t="s">
        <v>360</v>
      </c>
      <c r="B30" s="61">
        <v>25.2</v>
      </c>
      <c r="C30" s="61">
        <v>15.9</v>
      </c>
    </row>
    <row r="31" spans="1:3" ht="15.75" x14ac:dyDescent="0.2">
      <c r="A31" s="60" t="s">
        <v>361</v>
      </c>
      <c r="B31" s="61">
        <v>11.9</v>
      </c>
      <c r="C31" s="61">
        <v>4.9000000000000004</v>
      </c>
    </row>
    <row r="32" spans="1:3" ht="15.75" x14ac:dyDescent="0.2">
      <c r="A32" s="60" t="s">
        <v>362</v>
      </c>
      <c r="B32" s="61">
        <v>10.3</v>
      </c>
      <c r="C32" s="61">
        <v>3.7</v>
      </c>
    </row>
    <row r="33" spans="1:3" ht="15.75" x14ac:dyDescent="0.2">
      <c r="A33" s="60" t="s">
        <v>285</v>
      </c>
      <c r="B33" s="61">
        <v>13.5</v>
      </c>
      <c r="C33" s="61">
        <v>4.7</v>
      </c>
    </row>
    <row r="34" spans="1:3" ht="15.75" x14ac:dyDescent="0.2">
      <c r="A34" s="60" t="s">
        <v>363</v>
      </c>
      <c r="B34" s="61">
        <v>8.8000000000000007</v>
      </c>
      <c r="C34" s="61">
        <v>6.6</v>
      </c>
    </row>
    <row r="35" spans="1:3" ht="15.75" x14ac:dyDescent="0.2">
      <c r="A35" s="60" t="s">
        <v>288</v>
      </c>
      <c r="B35" s="61">
        <v>1.4</v>
      </c>
      <c r="C35" s="61">
        <v>1.9</v>
      </c>
    </row>
    <row r="36" spans="1:3" ht="15.75" x14ac:dyDescent="0.2">
      <c r="A36" s="60" t="s">
        <v>287</v>
      </c>
      <c r="B36" s="61">
        <v>9</v>
      </c>
      <c r="C36" s="61">
        <v>1.3</v>
      </c>
    </row>
    <row r="37" spans="1:3" ht="15.75" x14ac:dyDescent="0.2">
      <c r="A37" s="60" t="s">
        <v>364</v>
      </c>
      <c r="B37" s="61">
        <v>11.6</v>
      </c>
      <c r="C37" s="61">
        <v>8.1</v>
      </c>
    </row>
    <row r="38" spans="1:3" ht="15.75" x14ac:dyDescent="0.2">
      <c r="A38" s="62" t="s">
        <v>365</v>
      </c>
      <c r="B38" s="61">
        <v>8.4</v>
      </c>
      <c r="C38" s="61">
        <v>2.6</v>
      </c>
    </row>
    <row r="39" spans="1:3" ht="15.75" x14ac:dyDescent="0.2">
      <c r="A39" s="62" t="s">
        <v>290</v>
      </c>
      <c r="B39" s="61">
        <v>11.9</v>
      </c>
      <c r="C39" s="61">
        <v>5</v>
      </c>
    </row>
    <row r="40" spans="1:3" ht="15.75" x14ac:dyDescent="0.2">
      <c r="A40" s="62" t="s">
        <v>291</v>
      </c>
      <c r="B40" s="61">
        <v>1.9</v>
      </c>
      <c r="C40" s="61" t="s">
        <v>345</v>
      </c>
    </row>
    <row r="41" spans="1:3" ht="15.75" x14ac:dyDescent="0.2">
      <c r="A41" s="62" t="s">
        <v>366</v>
      </c>
      <c r="B41" s="61" t="s">
        <v>345</v>
      </c>
      <c r="C41" s="61" t="s">
        <v>345</v>
      </c>
    </row>
    <row r="42" spans="1:3" ht="31.5" x14ac:dyDescent="0.2">
      <c r="A42" s="62" t="s">
        <v>367</v>
      </c>
      <c r="B42" s="61">
        <v>3.2</v>
      </c>
      <c r="C42" s="61">
        <v>2.5</v>
      </c>
    </row>
    <row r="43" spans="1:3" ht="15.75" x14ac:dyDescent="0.2">
      <c r="A43" s="62" t="s">
        <v>368</v>
      </c>
      <c r="B43" s="61">
        <v>8.1</v>
      </c>
      <c r="C43" s="61">
        <v>2.5</v>
      </c>
    </row>
    <row r="44" spans="1:3" ht="15.75" x14ac:dyDescent="0.2">
      <c r="A44" s="62" t="s">
        <v>369</v>
      </c>
      <c r="B44" s="61">
        <v>5.0999999999999996</v>
      </c>
      <c r="C44" s="61">
        <v>3.1</v>
      </c>
    </row>
    <row r="45" spans="1:3" ht="15.75" x14ac:dyDescent="0.2">
      <c r="A45" s="62" t="s">
        <v>295</v>
      </c>
      <c r="B45" s="61">
        <v>3.8</v>
      </c>
      <c r="C45" s="61">
        <v>7.8</v>
      </c>
    </row>
    <row r="46" spans="1:3" ht="15.75" x14ac:dyDescent="0.2">
      <c r="A46" s="62" t="s">
        <v>296</v>
      </c>
      <c r="B46" s="61">
        <v>5.4</v>
      </c>
      <c r="C46" s="61">
        <v>1.9</v>
      </c>
    </row>
    <row r="47" spans="1:3" ht="15.75" x14ac:dyDescent="0.2">
      <c r="A47" s="62" t="s">
        <v>297</v>
      </c>
      <c r="B47" s="61">
        <v>4.9000000000000004</v>
      </c>
      <c r="C47" s="61">
        <v>8</v>
      </c>
    </row>
    <row r="48" spans="1:3" ht="15.75" x14ac:dyDescent="0.2">
      <c r="A48" s="62" t="s">
        <v>370</v>
      </c>
      <c r="B48" s="61" t="s">
        <v>345</v>
      </c>
      <c r="C48" s="61" t="s">
        <v>345</v>
      </c>
    </row>
    <row r="49" spans="1:3" ht="15.75" x14ac:dyDescent="0.2">
      <c r="A49" s="62" t="s">
        <v>371</v>
      </c>
      <c r="B49" s="61">
        <v>3.4</v>
      </c>
      <c r="C49" s="61">
        <v>1.6</v>
      </c>
    </row>
    <row r="50" spans="1:3" ht="21.75" customHeight="1" x14ac:dyDescent="0.2">
      <c r="A50" s="62" t="s">
        <v>372</v>
      </c>
      <c r="B50" s="61">
        <v>3.3</v>
      </c>
      <c r="C50" s="61" t="s">
        <v>345</v>
      </c>
    </row>
    <row r="51" spans="1:3" ht="15.75" x14ac:dyDescent="0.2">
      <c r="A51" s="62" t="s">
        <v>373</v>
      </c>
      <c r="B51" s="61" t="s">
        <v>345</v>
      </c>
      <c r="C51" s="61">
        <v>2.1</v>
      </c>
    </row>
    <row r="52" spans="1:3" ht="15.75" x14ac:dyDescent="0.2">
      <c r="A52" s="62" t="s">
        <v>374</v>
      </c>
      <c r="B52" s="61" t="s">
        <v>345</v>
      </c>
      <c r="C52" s="61" t="s">
        <v>345</v>
      </c>
    </row>
    <row r="53" spans="1:3" ht="15.75" x14ac:dyDescent="0.2">
      <c r="A53" s="62" t="s">
        <v>375</v>
      </c>
      <c r="B53" s="61">
        <v>4</v>
      </c>
      <c r="C53" s="61">
        <v>4</v>
      </c>
    </row>
    <row r="54" spans="1:3" ht="15.75" x14ac:dyDescent="0.2">
      <c r="A54" s="62" t="s">
        <v>301</v>
      </c>
      <c r="B54" s="61">
        <v>9.5</v>
      </c>
      <c r="C54" s="61">
        <v>3.7</v>
      </c>
    </row>
    <row r="55" spans="1:3" ht="15.75" x14ac:dyDescent="0.2">
      <c r="A55" s="62" t="s">
        <v>376</v>
      </c>
      <c r="B55" s="61">
        <v>8.6</v>
      </c>
      <c r="C55" s="61">
        <v>5.4</v>
      </c>
    </row>
    <row r="56" spans="1:3" ht="15.75" x14ac:dyDescent="0.2">
      <c r="A56" s="62" t="s">
        <v>377</v>
      </c>
      <c r="B56" s="61" t="s">
        <v>345</v>
      </c>
      <c r="C56" s="61" t="s">
        <v>345</v>
      </c>
    </row>
    <row r="57" spans="1:3" ht="15.75" x14ac:dyDescent="0.2">
      <c r="A57" s="62" t="s">
        <v>303</v>
      </c>
      <c r="B57" s="61">
        <v>2.9</v>
      </c>
      <c r="C57" s="61">
        <v>0.7</v>
      </c>
    </row>
    <row r="58" spans="1:3" ht="15.75" x14ac:dyDescent="0.2">
      <c r="A58" s="62" t="s">
        <v>378</v>
      </c>
      <c r="B58" s="61">
        <v>12.8</v>
      </c>
      <c r="C58" s="61">
        <v>5.9</v>
      </c>
    </row>
    <row r="59" spans="1:3" ht="15.75" x14ac:dyDescent="0.2">
      <c r="A59" s="62" t="s">
        <v>379</v>
      </c>
      <c r="B59" s="61">
        <v>34.700000000000003</v>
      </c>
      <c r="C59" s="61">
        <v>1.1000000000000001</v>
      </c>
    </row>
    <row r="60" spans="1:3" ht="15.75" x14ac:dyDescent="0.2">
      <c r="A60" s="62" t="s">
        <v>380</v>
      </c>
      <c r="B60" s="61">
        <v>24.3</v>
      </c>
      <c r="C60" s="61">
        <v>7.1</v>
      </c>
    </row>
    <row r="61" spans="1:3" ht="15.75" x14ac:dyDescent="0.2">
      <c r="A61" s="62" t="s">
        <v>381</v>
      </c>
      <c r="B61" s="61">
        <v>8.5</v>
      </c>
      <c r="C61" s="61">
        <v>1.5</v>
      </c>
    </row>
    <row r="62" spans="1:3" ht="15.75" x14ac:dyDescent="0.2">
      <c r="A62" s="62" t="s">
        <v>382</v>
      </c>
      <c r="B62" s="61">
        <v>19.3</v>
      </c>
      <c r="C62" s="61">
        <v>2.6</v>
      </c>
    </row>
    <row r="63" spans="1:3" ht="15.75" x14ac:dyDescent="0.2">
      <c r="A63" s="62" t="s">
        <v>383</v>
      </c>
      <c r="B63" s="61">
        <v>9.5</v>
      </c>
      <c r="C63" s="61">
        <v>4.7</v>
      </c>
    </row>
    <row r="64" spans="1:3" ht="15.75" x14ac:dyDescent="0.2">
      <c r="A64" s="62" t="s">
        <v>384</v>
      </c>
      <c r="B64" s="61">
        <v>9.9</v>
      </c>
      <c r="C64" s="61">
        <v>6.2</v>
      </c>
    </row>
    <row r="65" spans="1:3" ht="15.75" x14ac:dyDescent="0.2">
      <c r="A65" s="62" t="s">
        <v>385</v>
      </c>
      <c r="B65" s="61">
        <v>7.8</v>
      </c>
      <c r="C65" s="61">
        <v>4.7</v>
      </c>
    </row>
    <row r="66" spans="1:3" ht="15.75" x14ac:dyDescent="0.2">
      <c r="A66" s="63"/>
      <c r="B66" s="64"/>
      <c r="C66" s="64"/>
    </row>
    <row r="67" spans="1:3" ht="48.75" customHeight="1" x14ac:dyDescent="0.2">
      <c r="A67" s="81" t="s">
        <v>386</v>
      </c>
      <c r="B67" s="81"/>
      <c r="C67" s="81"/>
    </row>
    <row r="68" spans="1:3" ht="38.25" customHeight="1" x14ac:dyDescent="0.2">
      <c r="A68" s="81" t="s">
        <v>387</v>
      </c>
      <c r="B68" s="81"/>
      <c r="C68" s="81"/>
    </row>
  </sheetData>
  <mergeCells count="6">
    <mergeCell ref="A68:C68"/>
    <mergeCell ref="A1:C1"/>
    <mergeCell ref="B2:C2"/>
    <mergeCell ref="A3:A4"/>
    <mergeCell ref="B3:C3"/>
    <mergeCell ref="A67:C67"/>
  </mergeCells>
  <printOptions horizontalCentered="1" verticalCentered="1"/>
  <pageMargins left="0" right="0" top="0" bottom="0" header="0" footer="0"/>
  <pageSetup paperSize="8" scale="6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90</vt:i4>
      </vt:variant>
    </vt:vector>
  </HeadingPairs>
  <TitlesOfParts>
    <vt:vector size="99" baseType="lpstr">
      <vt:lpstr>Руководство пользователя</vt:lpstr>
      <vt:lpstr>Модель</vt:lpstr>
      <vt:lpstr>Вид для портала</vt:lpstr>
      <vt:lpstr>Эластичность спроса</vt:lpstr>
      <vt:lpstr>Рентабельность (Росстат)</vt:lpstr>
      <vt:lpstr>Структура затрат (ЦСР)</vt:lpstr>
      <vt:lpstr>Эластичности замещения (GTAP)</vt:lpstr>
      <vt:lpstr>Налоговая нагрузка (ФНС)</vt:lpstr>
      <vt:lpstr>Рентабельность (ФНС) </vt:lpstr>
      <vt:lpstr>EAEU</vt:lpstr>
      <vt:lpstr>ER_0</vt:lpstr>
      <vt:lpstr>ER_1</vt:lpstr>
      <vt:lpstr>EU</vt:lpstr>
      <vt:lpstr>K_0</vt:lpstr>
      <vt:lpstr>K_1</vt:lpstr>
      <vt:lpstr>K_FDC</vt:lpstr>
      <vt:lpstr>K_FXP</vt:lpstr>
      <vt:lpstr>K_MDI</vt:lpstr>
      <vt:lpstr>K_MMI</vt:lpstr>
      <vt:lpstr>K_SDP</vt:lpstr>
      <vt:lpstr>Lab</vt:lpstr>
      <vt:lpstr>NMMI_0</vt:lpstr>
      <vt:lpstr>NMMI_1</vt:lpstr>
      <vt:lpstr>NoL</vt:lpstr>
      <vt:lpstr>OUT_0</vt:lpstr>
      <vt:lpstr>OUT_1</vt:lpstr>
      <vt:lpstr>P_FDC_0</vt:lpstr>
      <vt:lpstr>P_FDC_1</vt:lpstr>
      <vt:lpstr>P_FDP_0</vt:lpstr>
      <vt:lpstr>P_FDP_1</vt:lpstr>
      <vt:lpstr>P_FXP_0</vt:lpstr>
      <vt:lpstr>P_FXP_1</vt:lpstr>
      <vt:lpstr>P_MDI_0</vt:lpstr>
      <vt:lpstr>P_MDI_1</vt:lpstr>
      <vt:lpstr>P_MIC_0</vt:lpstr>
      <vt:lpstr>P_MIC_1</vt:lpstr>
      <vt:lpstr>P_MMI_0</vt:lpstr>
      <vt:lpstr>P_MMI_1</vt:lpstr>
      <vt:lpstr>P_MMI_USD_0</vt:lpstr>
      <vt:lpstr>P_MMI_USD_1</vt:lpstr>
      <vt:lpstr>P_PDC_0</vt:lpstr>
      <vt:lpstr>P_PDC_1</vt:lpstr>
      <vt:lpstr>P_PDP_0</vt:lpstr>
      <vt:lpstr>P_PDP_1</vt:lpstr>
      <vt:lpstr>P_PXM_0</vt:lpstr>
      <vt:lpstr>P_PXM_1</vt:lpstr>
      <vt:lpstr>P_SDP_0</vt:lpstr>
      <vt:lpstr>P_SDP_1</vt:lpstr>
      <vt:lpstr>profit</vt:lpstr>
      <vt:lpstr>Q_FDC_0</vt:lpstr>
      <vt:lpstr>Q_FDC_1</vt:lpstr>
      <vt:lpstr>Q_FDP_0</vt:lpstr>
      <vt:lpstr>Q_FDP_1</vt:lpstr>
      <vt:lpstr>Q_FXP_0</vt:lpstr>
      <vt:lpstr>Q_FXP_1</vt:lpstr>
      <vt:lpstr>Q_MDI_0</vt:lpstr>
      <vt:lpstr>Q_MDI_1</vt:lpstr>
      <vt:lpstr>Q_MIC_0</vt:lpstr>
      <vt:lpstr>Q_MIC_1</vt:lpstr>
      <vt:lpstr>Q_MMI_0</vt:lpstr>
      <vt:lpstr>Q_MMI_1</vt:lpstr>
      <vt:lpstr>Q_PDC_0</vt:lpstr>
      <vt:lpstr>Q_PDC_1</vt:lpstr>
      <vt:lpstr>Q_PDP_0</vt:lpstr>
      <vt:lpstr>Q_PDP_1</vt:lpstr>
      <vt:lpstr>Q_PXM_0</vt:lpstr>
      <vt:lpstr>Q_PXM_1</vt:lpstr>
      <vt:lpstr>Q_SDP_0</vt:lpstr>
      <vt:lpstr>Q_SDP_1</vt:lpstr>
      <vt:lpstr>r_σ_MIC</vt:lpstr>
      <vt:lpstr>r_σ_PDP</vt:lpstr>
      <vt:lpstr>r_Ω_FDP</vt:lpstr>
      <vt:lpstr>SH_0</vt:lpstr>
      <vt:lpstr>SH_1</vt:lpstr>
      <vt:lpstr>SVA_0</vt:lpstr>
      <vt:lpstr>SVA_1</vt:lpstr>
      <vt:lpstr>Tax</vt:lpstr>
      <vt:lpstr>TMMI_0</vt:lpstr>
      <vt:lpstr>TMMI_1</vt:lpstr>
      <vt:lpstr>VAT</vt:lpstr>
      <vt:lpstr>Z_FDP</vt:lpstr>
      <vt:lpstr>Z_FXP</vt:lpstr>
      <vt:lpstr>Z_MMI</vt:lpstr>
      <vt:lpstr>Z_PDP</vt:lpstr>
      <vt:lpstr>Z_PXM</vt:lpstr>
      <vt:lpstr>ε_FDP</vt:lpstr>
      <vt:lpstr>ε_FXP</vt:lpstr>
      <vt:lpstr>ε_MMI</vt:lpstr>
      <vt:lpstr>ε_PDP</vt:lpstr>
      <vt:lpstr>ε_PXM</vt:lpstr>
      <vt:lpstr>Λ_0</vt:lpstr>
      <vt:lpstr>Λ_1</vt:lpstr>
      <vt:lpstr>σ_MIC</vt:lpstr>
      <vt:lpstr>σ_PDP</vt:lpstr>
      <vt:lpstr>Ω_FDP</vt:lpstr>
      <vt:lpstr>'Налоговая нагрузка (ФНС)'!Заголовки_для_печати</vt:lpstr>
      <vt:lpstr>'Рентабельность (ФНС) '!Заголовки_для_печати</vt:lpstr>
      <vt:lpstr>'Налоговая нагрузка (ФНС)'!Область_печати</vt:lpstr>
      <vt:lpstr>'Рентабельность (ФНС) 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Пеньков Михаил</dc:creator>
  <cp:lastModifiedBy>Дмитрий Кузнецов</cp:lastModifiedBy>
  <dcterms:created xsi:type="dcterms:W3CDTF">2022-01-25T15:28:36Z</dcterms:created>
  <dcterms:modified xsi:type="dcterms:W3CDTF">2022-07-27T12:01:58Z</dcterms:modified>
</cp:coreProperties>
</file>